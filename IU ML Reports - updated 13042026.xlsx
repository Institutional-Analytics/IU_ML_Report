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0896AAEDE7007551DCFCB4D0DDC1C4DA434C9B88" xr6:coauthVersionLast="47" xr6:coauthVersionMax="47" xr10:uidLastSave="{00000000-0000-0000-0000-000000000000}"/>
  <bookViews>
    <workbookView xWindow="4905" yWindow="1395" windowWidth="29370" windowHeight="18735" tabRatio="655" firstSheet="1" activeTab="4" xr2:uid="{00000000-000D-0000-FFFF-FFFF00000000}"/>
    <workbookView xWindow="4905" yWindow="1395" windowWidth="29370" windowHeight="18735" tabRatio="786" firstSheet="1" activeTab="5" xr2:uid="{00000000-000D-0000-FFFF-FFFF01000000}"/>
  </bookViews>
  <sheets>
    <sheet name="IU Major Match" sheetId="8" state="hidden" r:id="rId1"/>
    <sheet name="Not ML Reg ML" sheetId="6" r:id="rId2"/>
    <sheet name="ML Std Enrolled but not ML" sheetId="3" r:id="rId3"/>
    <sheet name="ML Std Enrolled in ML" sheetId="2" r:id="rId4"/>
    <sheet name="Report ML&gt;50" sheetId="10" r:id="rId5"/>
    <sheet name="Report ML&lt;=50" sheetId="9" r:id="rId6"/>
  </sheets>
  <definedNames>
    <definedName name="_xlnm._FilterDatabase" localSheetId="0" hidden="1">'IU Major Match'!$A$1:$E$65</definedName>
    <definedName name="_xlnm._FilterDatabase" localSheetId="2" hidden="1">'ML Std Enrolled but not ML'!$A$1:$U$154</definedName>
    <definedName name="_xlnm._FilterDatabase" localSheetId="3" hidden="1">'ML Std Enrolled in ML'!$A$1:$T$778</definedName>
    <definedName name="_xlnm._FilterDatabase" localSheetId="1" hidden="1">'Not ML Reg ML'!$A$1:$U$83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6" l="1"/>
  <c r="S3" i="6"/>
  <c r="T3" i="6"/>
  <c r="U3" i="6" s="1"/>
  <c r="R4" i="6"/>
  <c r="S4" i="6" s="1"/>
  <c r="T4" i="6"/>
  <c r="U4" i="6" s="1"/>
  <c r="R5" i="6"/>
  <c r="S5" i="6" s="1"/>
  <c r="T5" i="6"/>
  <c r="U5" i="6" s="1"/>
  <c r="R6" i="6"/>
  <c r="S6" i="6" s="1"/>
  <c r="T6" i="6"/>
  <c r="U6" i="6" s="1"/>
  <c r="R7" i="6"/>
  <c r="S7" i="6"/>
  <c r="T7" i="6"/>
  <c r="U7" i="6" s="1"/>
  <c r="R8" i="6"/>
  <c r="S8" i="6" s="1"/>
  <c r="T8" i="6"/>
  <c r="U8" i="6" s="1"/>
  <c r="R9" i="6"/>
  <c r="S9" i="6"/>
  <c r="T9" i="6"/>
  <c r="U9" i="6" s="1"/>
  <c r="R10" i="6"/>
  <c r="S10" i="6" s="1"/>
  <c r="T10" i="6"/>
  <c r="U10" i="6" s="1"/>
  <c r="R11" i="6"/>
  <c r="S11" i="6" s="1"/>
  <c r="T11" i="6"/>
  <c r="U11" i="6" s="1"/>
  <c r="R12" i="6"/>
  <c r="S12" i="6" s="1"/>
  <c r="T12" i="6"/>
  <c r="U12" i="6" s="1"/>
  <c r="R13" i="6"/>
  <c r="S13" i="6"/>
  <c r="T13" i="6"/>
  <c r="U13" i="6" s="1"/>
  <c r="R14" i="6"/>
  <c r="S14" i="6"/>
  <c r="T14" i="6"/>
  <c r="U14" i="6" s="1"/>
  <c r="R15" i="6"/>
  <c r="S15" i="6" s="1"/>
  <c r="T15" i="6"/>
  <c r="U15" i="6" s="1"/>
  <c r="R16" i="6"/>
  <c r="S16" i="6"/>
  <c r="T16" i="6"/>
  <c r="U16" i="6" s="1"/>
  <c r="R17" i="6"/>
  <c r="S17" i="6" s="1"/>
  <c r="T17" i="6"/>
  <c r="U17" i="6"/>
  <c r="R18" i="6"/>
  <c r="S18" i="6" s="1"/>
  <c r="T18" i="6"/>
  <c r="U18" i="6"/>
  <c r="R19" i="6"/>
  <c r="S19" i="6" s="1"/>
  <c r="T19" i="6"/>
  <c r="U19" i="6" s="1"/>
  <c r="R20" i="6"/>
  <c r="S20" i="6" s="1"/>
  <c r="T20" i="6"/>
  <c r="U20" i="6" s="1"/>
  <c r="R21" i="6"/>
  <c r="S21" i="6" s="1"/>
  <c r="T21" i="6"/>
  <c r="U21" i="6" s="1"/>
  <c r="R22" i="6"/>
  <c r="S22" i="6"/>
  <c r="T22" i="6"/>
  <c r="U22" i="6" s="1"/>
  <c r="R23" i="6"/>
  <c r="S23" i="6" s="1"/>
  <c r="T23" i="6"/>
  <c r="U23" i="6" s="1"/>
  <c r="R24" i="6"/>
  <c r="S24" i="6" s="1"/>
  <c r="T24" i="6"/>
  <c r="U24" i="6" s="1"/>
  <c r="R25" i="6"/>
  <c r="S25" i="6" s="1"/>
  <c r="T25" i="6"/>
  <c r="U25" i="6" s="1"/>
  <c r="R26" i="6"/>
  <c r="S26" i="6" s="1"/>
  <c r="T26" i="6"/>
  <c r="U26" i="6" s="1"/>
  <c r="R27" i="6"/>
  <c r="S27" i="6" s="1"/>
  <c r="T27" i="6"/>
  <c r="U27" i="6" s="1"/>
  <c r="R28" i="6"/>
  <c r="S28" i="6" s="1"/>
  <c r="T28" i="6"/>
  <c r="U28" i="6" s="1"/>
  <c r="R29" i="6"/>
  <c r="S29" i="6" s="1"/>
  <c r="T29" i="6"/>
  <c r="U29" i="6"/>
  <c r="R30" i="6"/>
  <c r="S30" i="6" s="1"/>
  <c r="T30" i="6"/>
  <c r="U30" i="6" s="1"/>
  <c r="R31" i="6"/>
  <c r="S31" i="6" s="1"/>
  <c r="T31" i="6"/>
  <c r="U31" i="6" s="1"/>
  <c r="R32" i="6"/>
  <c r="S32" i="6" s="1"/>
  <c r="T32" i="6"/>
  <c r="U32" i="6" s="1"/>
  <c r="R33" i="6"/>
  <c r="S33" i="6" s="1"/>
  <c r="T33" i="6"/>
  <c r="U33" i="6" s="1"/>
  <c r="R34" i="6"/>
  <c r="S34" i="6"/>
  <c r="T34" i="6"/>
  <c r="U34" i="6" s="1"/>
  <c r="R35" i="6"/>
  <c r="S35" i="6" s="1"/>
  <c r="T35" i="6"/>
  <c r="U35" i="6" s="1"/>
  <c r="R36" i="6"/>
  <c r="S36" i="6" s="1"/>
  <c r="T36" i="6"/>
  <c r="U36" i="6"/>
  <c r="R37" i="6"/>
  <c r="S37" i="6" s="1"/>
  <c r="T37" i="6"/>
  <c r="U37" i="6" s="1"/>
  <c r="R38" i="6"/>
  <c r="S38" i="6" s="1"/>
  <c r="T38" i="6"/>
  <c r="U38" i="6" s="1"/>
  <c r="R39" i="6"/>
  <c r="S39" i="6"/>
  <c r="T39" i="6"/>
  <c r="U39" i="6" s="1"/>
  <c r="R40" i="6"/>
  <c r="S40" i="6"/>
  <c r="T40" i="6"/>
  <c r="U40" i="6" s="1"/>
  <c r="R41" i="6"/>
  <c r="S41" i="6" s="1"/>
  <c r="T41" i="6"/>
  <c r="U41" i="6" s="1"/>
  <c r="R42" i="6"/>
  <c r="S42" i="6" s="1"/>
  <c r="T42" i="6"/>
  <c r="U42" i="6" s="1"/>
  <c r="R43" i="6"/>
  <c r="S43" i="6" s="1"/>
  <c r="T43" i="6"/>
  <c r="U43" i="6"/>
  <c r="R44" i="6"/>
  <c r="S44" i="6" s="1"/>
  <c r="T44" i="6"/>
  <c r="U44" i="6" s="1"/>
  <c r="R45" i="6"/>
  <c r="S45" i="6"/>
  <c r="T45" i="6"/>
  <c r="U45" i="6" s="1"/>
  <c r="R46" i="6"/>
  <c r="S46" i="6" s="1"/>
  <c r="T46" i="6"/>
  <c r="U46" i="6" s="1"/>
  <c r="R47" i="6"/>
  <c r="S47" i="6" s="1"/>
  <c r="T47" i="6"/>
  <c r="U47" i="6" s="1"/>
  <c r="R48" i="6"/>
  <c r="S48" i="6" s="1"/>
  <c r="T48" i="6"/>
  <c r="U48" i="6" s="1"/>
  <c r="R49" i="6"/>
  <c r="S49" i="6"/>
  <c r="T49" i="6"/>
  <c r="U49" i="6" s="1"/>
  <c r="R50" i="6"/>
  <c r="S50" i="6" s="1"/>
  <c r="T50" i="6"/>
  <c r="U50" i="6" s="1"/>
  <c r="R51" i="6"/>
  <c r="S51" i="6"/>
  <c r="T51" i="6"/>
  <c r="U51" i="6" s="1"/>
  <c r="R52" i="6"/>
  <c r="S52" i="6" s="1"/>
  <c r="T52" i="6"/>
  <c r="U52" i="6" s="1"/>
  <c r="R53" i="6"/>
  <c r="S53" i="6" s="1"/>
  <c r="T53" i="6"/>
  <c r="U53" i="6"/>
  <c r="R54" i="6"/>
  <c r="S54" i="6" s="1"/>
  <c r="T54" i="6"/>
  <c r="U54" i="6" s="1"/>
  <c r="R55" i="6"/>
  <c r="S55" i="6" s="1"/>
  <c r="T55" i="6"/>
  <c r="U55" i="6"/>
  <c r="R56" i="6"/>
  <c r="S56" i="6" s="1"/>
  <c r="T56" i="6"/>
  <c r="U56" i="6" s="1"/>
  <c r="R57" i="6"/>
  <c r="S57" i="6" s="1"/>
  <c r="T57" i="6"/>
  <c r="U57" i="6" s="1"/>
  <c r="R58" i="6"/>
  <c r="S58" i="6"/>
  <c r="T58" i="6"/>
  <c r="U58" i="6" s="1"/>
  <c r="R59" i="6"/>
  <c r="S59" i="6" s="1"/>
  <c r="T59" i="6"/>
  <c r="U59" i="6" s="1"/>
  <c r="R60" i="6"/>
  <c r="S60" i="6" s="1"/>
  <c r="T60" i="6"/>
  <c r="U60" i="6" s="1"/>
  <c r="R61" i="6"/>
  <c r="S61" i="6" s="1"/>
  <c r="T61" i="6"/>
  <c r="U61" i="6" s="1"/>
  <c r="R62" i="6"/>
  <c r="S62" i="6" s="1"/>
  <c r="T62" i="6"/>
  <c r="U62" i="6" s="1"/>
  <c r="R63" i="6"/>
  <c r="S63" i="6" s="1"/>
  <c r="T63" i="6"/>
  <c r="U63" i="6" s="1"/>
  <c r="R64" i="6"/>
  <c r="S64" i="6" s="1"/>
  <c r="T64" i="6"/>
  <c r="U64" i="6"/>
  <c r="R65" i="6"/>
  <c r="S65" i="6" s="1"/>
  <c r="T65" i="6"/>
  <c r="U65" i="6" s="1"/>
  <c r="R66" i="6"/>
  <c r="S66" i="6" s="1"/>
  <c r="T66" i="6"/>
  <c r="U66" i="6" s="1"/>
  <c r="R67" i="6"/>
  <c r="S67" i="6" s="1"/>
  <c r="T67" i="6"/>
  <c r="U67" i="6" s="1"/>
  <c r="R68" i="6"/>
  <c r="S68" i="6" s="1"/>
  <c r="T68" i="6"/>
  <c r="U68" i="6" s="1"/>
  <c r="R69" i="6"/>
  <c r="S69" i="6" s="1"/>
  <c r="T69" i="6"/>
  <c r="U69" i="6" s="1"/>
  <c r="R70" i="6"/>
  <c r="S70" i="6" s="1"/>
  <c r="T70" i="6"/>
  <c r="U70" i="6" s="1"/>
  <c r="R71" i="6"/>
  <c r="S71" i="6" s="1"/>
  <c r="T71" i="6"/>
  <c r="U71" i="6" s="1"/>
  <c r="R72" i="6"/>
  <c r="S72" i="6" s="1"/>
  <c r="T72" i="6"/>
  <c r="U72" i="6" s="1"/>
  <c r="R73" i="6"/>
  <c r="S73" i="6" s="1"/>
  <c r="T73" i="6"/>
  <c r="U73" i="6" s="1"/>
  <c r="R74" i="6"/>
  <c r="S74" i="6" s="1"/>
  <c r="T74" i="6"/>
  <c r="U74" i="6" s="1"/>
  <c r="R75" i="6"/>
  <c r="S75" i="6"/>
  <c r="T75" i="6"/>
  <c r="U75" i="6" s="1"/>
  <c r="R76" i="6"/>
  <c r="S76" i="6"/>
  <c r="T76" i="6"/>
  <c r="U76" i="6" s="1"/>
  <c r="R77" i="6"/>
  <c r="S77" i="6" s="1"/>
  <c r="T77" i="6"/>
  <c r="U77" i="6" s="1"/>
  <c r="R78" i="6"/>
  <c r="S78" i="6" s="1"/>
  <c r="T78" i="6"/>
  <c r="U78" i="6" s="1"/>
  <c r="R79" i="6"/>
  <c r="S79" i="6" s="1"/>
  <c r="T79" i="6"/>
  <c r="U79" i="6"/>
  <c r="R80" i="6"/>
  <c r="S80" i="6" s="1"/>
  <c r="T80" i="6"/>
  <c r="U80" i="6" s="1"/>
  <c r="R81" i="6"/>
  <c r="S81" i="6" s="1"/>
  <c r="T81" i="6"/>
  <c r="U81" i="6" s="1"/>
  <c r="R82" i="6"/>
  <c r="S82" i="6" s="1"/>
  <c r="T82" i="6"/>
  <c r="U82" i="6" s="1"/>
  <c r="R83" i="6"/>
  <c r="S83" i="6" s="1"/>
  <c r="T83" i="6"/>
  <c r="U83" i="6" s="1"/>
  <c r="T2" i="6"/>
  <c r="U2" i="6" s="1"/>
  <c r="R2" i="6"/>
  <c r="S2" i="6" s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2" i="6"/>
  <c r="R3" i="3"/>
  <c r="S3" i="3" s="1"/>
  <c r="T3" i="3"/>
  <c r="U3" i="3" s="1"/>
  <c r="R4" i="3"/>
  <c r="S4" i="3" s="1"/>
  <c r="T4" i="3"/>
  <c r="U4" i="3" s="1"/>
  <c r="R5" i="3"/>
  <c r="S5" i="3" s="1"/>
  <c r="T5" i="3"/>
  <c r="U5" i="3" s="1"/>
  <c r="R6" i="3"/>
  <c r="S6" i="3" s="1"/>
  <c r="T6" i="3"/>
  <c r="U6" i="3" s="1"/>
  <c r="R7" i="3"/>
  <c r="S7" i="3" s="1"/>
  <c r="T7" i="3"/>
  <c r="U7" i="3" s="1"/>
  <c r="R8" i="3"/>
  <c r="S8" i="3" s="1"/>
  <c r="T8" i="3"/>
  <c r="U8" i="3" s="1"/>
  <c r="R9" i="3"/>
  <c r="S9" i="3" s="1"/>
  <c r="T9" i="3"/>
  <c r="U9" i="3" s="1"/>
  <c r="R10" i="3"/>
  <c r="S10" i="3" s="1"/>
  <c r="T10" i="3"/>
  <c r="U10" i="3" s="1"/>
  <c r="R11" i="3"/>
  <c r="S11" i="3" s="1"/>
  <c r="T11" i="3"/>
  <c r="U11" i="3" s="1"/>
  <c r="R12" i="3"/>
  <c r="S12" i="3" s="1"/>
  <c r="T12" i="3"/>
  <c r="U12" i="3" s="1"/>
  <c r="R13" i="3"/>
  <c r="S13" i="3" s="1"/>
  <c r="T13" i="3"/>
  <c r="U13" i="3" s="1"/>
  <c r="R14" i="3"/>
  <c r="S14" i="3" s="1"/>
  <c r="T14" i="3"/>
  <c r="U14" i="3" s="1"/>
  <c r="R15" i="3"/>
  <c r="S15" i="3" s="1"/>
  <c r="T15" i="3"/>
  <c r="U15" i="3" s="1"/>
  <c r="R16" i="3"/>
  <c r="S16" i="3" s="1"/>
  <c r="T16" i="3"/>
  <c r="U16" i="3" s="1"/>
  <c r="R17" i="3"/>
  <c r="S17" i="3" s="1"/>
  <c r="T17" i="3"/>
  <c r="U17" i="3" s="1"/>
  <c r="R18" i="3"/>
  <c r="S18" i="3" s="1"/>
  <c r="T18" i="3"/>
  <c r="U18" i="3" s="1"/>
  <c r="R19" i="3"/>
  <c r="S19" i="3" s="1"/>
  <c r="T19" i="3"/>
  <c r="U19" i="3" s="1"/>
  <c r="R20" i="3"/>
  <c r="S20" i="3" s="1"/>
  <c r="T20" i="3"/>
  <c r="U20" i="3" s="1"/>
  <c r="R21" i="3"/>
  <c r="S21" i="3" s="1"/>
  <c r="T21" i="3"/>
  <c r="U21" i="3" s="1"/>
  <c r="R22" i="3"/>
  <c r="S22" i="3" s="1"/>
  <c r="T22" i="3"/>
  <c r="U22" i="3" s="1"/>
  <c r="R23" i="3"/>
  <c r="S23" i="3" s="1"/>
  <c r="T23" i="3"/>
  <c r="U23" i="3" s="1"/>
  <c r="R24" i="3"/>
  <c r="S24" i="3" s="1"/>
  <c r="T24" i="3"/>
  <c r="U24" i="3" s="1"/>
  <c r="R25" i="3"/>
  <c r="S25" i="3" s="1"/>
  <c r="T25" i="3"/>
  <c r="U25" i="3" s="1"/>
  <c r="R26" i="3"/>
  <c r="S26" i="3" s="1"/>
  <c r="T26" i="3"/>
  <c r="U26" i="3" s="1"/>
  <c r="R27" i="3"/>
  <c r="S27" i="3" s="1"/>
  <c r="T27" i="3"/>
  <c r="U27" i="3" s="1"/>
  <c r="R28" i="3"/>
  <c r="S28" i="3" s="1"/>
  <c r="T28" i="3"/>
  <c r="U28" i="3" s="1"/>
  <c r="R29" i="3"/>
  <c r="S29" i="3" s="1"/>
  <c r="T29" i="3"/>
  <c r="U29" i="3" s="1"/>
  <c r="R30" i="3"/>
  <c r="S30" i="3" s="1"/>
  <c r="T30" i="3"/>
  <c r="U30" i="3" s="1"/>
  <c r="R31" i="3"/>
  <c r="S31" i="3" s="1"/>
  <c r="T31" i="3"/>
  <c r="U31" i="3" s="1"/>
  <c r="R32" i="3"/>
  <c r="S32" i="3" s="1"/>
  <c r="T32" i="3"/>
  <c r="U32" i="3" s="1"/>
  <c r="R33" i="3"/>
  <c r="S33" i="3" s="1"/>
  <c r="T33" i="3"/>
  <c r="U33" i="3" s="1"/>
  <c r="R34" i="3"/>
  <c r="S34" i="3" s="1"/>
  <c r="T34" i="3"/>
  <c r="U34" i="3" s="1"/>
  <c r="R35" i="3"/>
  <c r="S35" i="3" s="1"/>
  <c r="T35" i="3"/>
  <c r="U35" i="3" s="1"/>
  <c r="R36" i="3"/>
  <c r="S36" i="3" s="1"/>
  <c r="T36" i="3"/>
  <c r="U36" i="3" s="1"/>
  <c r="R37" i="3"/>
  <c r="S37" i="3" s="1"/>
  <c r="T37" i="3"/>
  <c r="U37" i="3" s="1"/>
  <c r="R38" i="3"/>
  <c r="S38" i="3" s="1"/>
  <c r="T38" i="3"/>
  <c r="U38" i="3" s="1"/>
  <c r="R39" i="3"/>
  <c r="S39" i="3" s="1"/>
  <c r="T39" i="3"/>
  <c r="U39" i="3" s="1"/>
  <c r="R40" i="3"/>
  <c r="S40" i="3" s="1"/>
  <c r="T40" i="3"/>
  <c r="U40" i="3" s="1"/>
  <c r="R41" i="3"/>
  <c r="S41" i="3" s="1"/>
  <c r="T41" i="3"/>
  <c r="U41" i="3" s="1"/>
  <c r="R42" i="3"/>
  <c r="S42" i="3" s="1"/>
  <c r="T42" i="3"/>
  <c r="U42" i="3" s="1"/>
  <c r="R43" i="3"/>
  <c r="S43" i="3" s="1"/>
  <c r="T43" i="3"/>
  <c r="U43" i="3" s="1"/>
  <c r="R44" i="3"/>
  <c r="S44" i="3" s="1"/>
  <c r="T44" i="3"/>
  <c r="U44" i="3" s="1"/>
  <c r="R45" i="3"/>
  <c r="S45" i="3" s="1"/>
  <c r="T45" i="3"/>
  <c r="U45" i="3" s="1"/>
  <c r="R46" i="3"/>
  <c r="S46" i="3" s="1"/>
  <c r="T46" i="3"/>
  <c r="U46" i="3" s="1"/>
  <c r="R47" i="3"/>
  <c r="S47" i="3" s="1"/>
  <c r="T47" i="3"/>
  <c r="U47" i="3" s="1"/>
  <c r="R48" i="3"/>
  <c r="S48" i="3" s="1"/>
  <c r="T48" i="3"/>
  <c r="U48" i="3" s="1"/>
  <c r="R49" i="3"/>
  <c r="S49" i="3" s="1"/>
  <c r="T49" i="3"/>
  <c r="U49" i="3" s="1"/>
  <c r="R50" i="3"/>
  <c r="S50" i="3" s="1"/>
  <c r="T50" i="3"/>
  <c r="U50" i="3" s="1"/>
  <c r="R51" i="3"/>
  <c r="S51" i="3" s="1"/>
  <c r="T51" i="3"/>
  <c r="U51" i="3" s="1"/>
  <c r="R52" i="3"/>
  <c r="S52" i="3" s="1"/>
  <c r="T52" i="3"/>
  <c r="U52" i="3" s="1"/>
  <c r="R53" i="3"/>
  <c r="S53" i="3" s="1"/>
  <c r="T53" i="3"/>
  <c r="U53" i="3" s="1"/>
  <c r="R54" i="3"/>
  <c r="S54" i="3" s="1"/>
  <c r="T54" i="3"/>
  <c r="U54" i="3" s="1"/>
  <c r="R55" i="3"/>
  <c r="S55" i="3" s="1"/>
  <c r="T55" i="3"/>
  <c r="U55" i="3" s="1"/>
  <c r="R56" i="3"/>
  <c r="S56" i="3" s="1"/>
  <c r="T56" i="3"/>
  <c r="U56" i="3" s="1"/>
  <c r="R57" i="3"/>
  <c r="S57" i="3" s="1"/>
  <c r="T57" i="3"/>
  <c r="U57" i="3" s="1"/>
  <c r="R58" i="3"/>
  <c r="S58" i="3" s="1"/>
  <c r="T58" i="3"/>
  <c r="U58" i="3" s="1"/>
  <c r="R59" i="3"/>
  <c r="S59" i="3" s="1"/>
  <c r="T59" i="3"/>
  <c r="U59" i="3" s="1"/>
  <c r="R60" i="3"/>
  <c r="S60" i="3" s="1"/>
  <c r="T60" i="3"/>
  <c r="U60" i="3" s="1"/>
  <c r="R61" i="3"/>
  <c r="S61" i="3" s="1"/>
  <c r="T61" i="3"/>
  <c r="U61" i="3" s="1"/>
  <c r="R62" i="3"/>
  <c r="S62" i="3" s="1"/>
  <c r="T62" i="3"/>
  <c r="U62" i="3" s="1"/>
  <c r="R63" i="3"/>
  <c r="S63" i="3" s="1"/>
  <c r="T63" i="3"/>
  <c r="U63" i="3" s="1"/>
  <c r="R64" i="3"/>
  <c r="S64" i="3" s="1"/>
  <c r="T64" i="3"/>
  <c r="U64" i="3" s="1"/>
  <c r="R65" i="3"/>
  <c r="S65" i="3" s="1"/>
  <c r="T65" i="3"/>
  <c r="U65" i="3" s="1"/>
  <c r="R66" i="3"/>
  <c r="S66" i="3" s="1"/>
  <c r="T66" i="3"/>
  <c r="U66" i="3" s="1"/>
  <c r="R67" i="3"/>
  <c r="S67" i="3" s="1"/>
  <c r="T67" i="3"/>
  <c r="U67" i="3" s="1"/>
  <c r="R68" i="3"/>
  <c r="S68" i="3" s="1"/>
  <c r="T68" i="3"/>
  <c r="U68" i="3" s="1"/>
  <c r="R69" i="3"/>
  <c r="S69" i="3" s="1"/>
  <c r="T69" i="3"/>
  <c r="U69" i="3" s="1"/>
  <c r="R70" i="3"/>
  <c r="S70" i="3" s="1"/>
  <c r="T70" i="3"/>
  <c r="U70" i="3" s="1"/>
  <c r="R71" i="3"/>
  <c r="S71" i="3" s="1"/>
  <c r="T71" i="3"/>
  <c r="U71" i="3" s="1"/>
  <c r="R72" i="3"/>
  <c r="S72" i="3" s="1"/>
  <c r="T72" i="3"/>
  <c r="U72" i="3" s="1"/>
  <c r="R73" i="3"/>
  <c r="S73" i="3" s="1"/>
  <c r="T73" i="3"/>
  <c r="U73" i="3" s="1"/>
  <c r="R74" i="3"/>
  <c r="S74" i="3" s="1"/>
  <c r="T74" i="3"/>
  <c r="U74" i="3" s="1"/>
  <c r="R75" i="3"/>
  <c r="S75" i="3" s="1"/>
  <c r="T75" i="3"/>
  <c r="U75" i="3" s="1"/>
  <c r="R76" i="3"/>
  <c r="S76" i="3" s="1"/>
  <c r="T76" i="3"/>
  <c r="U76" i="3" s="1"/>
  <c r="R77" i="3"/>
  <c r="S77" i="3" s="1"/>
  <c r="T77" i="3"/>
  <c r="U77" i="3" s="1"/>
  <c r="R78" i="3"/>
  <c r="S78" i="3" s="1"/>
  <c r="T78" i="3"/>
  <c r="U78" i="3" s="1"/>
  <c r="R79" i="3"/>
  <c r="S79" i="3" s="1"/>
  <c r="T79" i="3"/>
  <c r="U79" i="3" s="1"/>
  <c r="R80" i="3"/>
  <c r="S80" i="3" s="1"/>
  <c r="T80" i="3"/>
  <c r="U80" i="3" s="1"/>
  <c r="R81" i="3"/>
  <c r="S81" i="3" s="1"/>
  <c r="T81" i="3"/>
  <c r="U81" i="3" s="1"/>
  <c r="R82" i="3"/>
  <c r="S82" i="3" s="1"/>
  <c r="T82" i="3"/>
  <c r="U82" i="3" s="1"/>
  <c r="R83" i="3"/>
  <c r="S83" i="3" s="1"/>
  <c r="T83" i="3"/>
  <c r="U83" i="3" s="1"/>
  <c r="R84" i="3"/>
  <c r="S84" i="3" s="1"/>
  <c r="T84" i="3"/>
  <c r="U84" i="3" s="1"/>
  <c r="R85" i="3"/>
  <c r="S85" i="3" s="1"/>
  <c r="T85" i="3"/>
  <c r="U85" i="3" s="1"/>
  <c r="R86" i="3"/>
  <c r="S86" i="3" s="1"/>
  <c r="T86" i="3"/>
  <c r="U86" i="3" s="1"/>
  <c r="R87" i="3"/>
  <c r="S87" i="3" s="1"/>
  <c r="T87" i="3"/>
  <c r="U87" i="3" s="1"/>
  <c r="R88" i="3"/>
  <c r="S88" i="3" s="1"/>
  <c r="T88" i="3"/>
  <c r="U88" i="3" s="1"/>
  <c r="R89" i="3"/>
  <c r="S89" i="3" s="1"/>
  <c r="T89" i="3"/>
  <c r="U89" i="3" s="1"/>
  <c r="R90" i="3"/>
  <c r="S90" i="3" s="1"/>
  <c r="T90" i="3"/>
  <c r="U90" i="3" s="1"/>
  <c r="R91" i="3"/>
  <c r="S91" i="3" s="1"/>
  <c r="T91" i="3"/>
  <c r="U91" i="3" s="1"/>
  <c r="R92" i="3"/>
  <c r="S92" i="3" s="1"/>
  <c r="T92" i="3"/>
  <c r="U92" i="3" s="1"/>
  <c r="R93" i="3"/>
  <c r="S93" i="3" s="1"/>
  <c r="T93" i="3"/>
  <c r="U93" i="3" s="1"/>
  <c r="R94" i="3"/>
  <c r="S94" i="3" s="1"/>
  <c r="T94" i="3"/>
  <c r="U94" i="3" s="1"/>
  <c r="R95" i="3"/>
  <c r="S95" i="3" s="1"/>
  <c r="T95" i="3"/>
  <c r="U95" i="3" s="1"/>
  <c r="R96" i="3"/>
  <c r="S96" i="3" s="1"/>
  <c r="T96" i="3"/>
  <c r="U96" i="3" s="1"/>
  <c r="R97" i="3"/>
  <c r="S97" i="3" s="1"/>
  <c r="T97" i="3"/>
  <c r="U97" i="3" s="1"/>
  <c r="R98" i="3"/>
  <c r="S98" i="3" s="1"/>
  <c r="T98" i="3"/>
  <c r="U98" i="3" s="1"/>
  <c r="R99" i="3"/>
  <c r="S99" i="3" s="1"/>
  <c r="T99" i="3"/>
  <c r="U99" i="3" s="1"/>
  <c r="R100" i="3"/>
  <c r="S100" i="3" s="1"/>
  <c r="T100" i="3"/>
  <c r="U100" i="3" s="1"/>
  <c r="R101" i="3"/>
  <c r="S101" i="3" s="1"/>
  <c r="T101" i="3"/>
  <c r="U101" i="3" s="1"/>
  <c r="R102" i="3"/>
  <c r="S102" i="3" s="1"/>
  <c r="T102" i="3"/>
  <c r="U102" i="3" s="1"/>
  <c r="R103" i="3"/>
  <c r="S103" i="3" s="1"/>
  <c r="T103" i="3"/>
  <c r="U103" i="3" s="1"/>
  <c r="R104" i="3"/>
  <c r="S104" i="3" s="1"/>
  <c r="T104" i="3"/>
  <c r="U104" i="3" s="1"/>
  <c r="R105" i="3"/>
  <c r="S105" i="3" s="1"/>
  <c r="T105" i="3"/>
  <c r="U105" i="3" s="1"/>
  <c r="R106" i="3"/>
  <c r="S106" i="3" s="1"/>
  <c r="T106" i="3"/>
  <c r="U106" i="3" s="1"/>
  <c r="R107" i="3"/>
  <c r="S107" i="3" s="1"/>
  <c r="T107" i="3"/>
  <c r="U107" i="3" s="1"/>
  <c r="R108" i="3"/>
  <c r="S108" i="3" s="1"/>
  <c r="T108" i="3"/>
  <c r="U108" i="3" s="1"/>
  <c r="R109" i="3"/>
  <c r="S109" i="3" s="1"/>
  <c r="T109" i="3"/>
  <c r="U109" i="3" s="1"/>
  <c r="R110" i="3"/>
  <c r="S110" i="3" s="1"/>
  <c r="T110" i="3"/>
  <c r="U110" i="3" s="1"/>
  <c r="R111" i="3"/>
  <c r="S111" i="3" s="1"/>
  <c r="T111" i="3"/>
  <c r="U111" i="3" s="1"/>
  <c r="R112" i="3"/>
  <c r="S112" i="3" s="1"/>
  <c r="T112" i="3"/>
  <c r="U112" i="3" s="1"/>
  <c r="R113" i="3"/>
  <c r="S113" i="3" s="1"/>
  <c r="T113" i="3"/>
  <c r="U113" i="3" s="1"/>
  <c r="R114" i="3"/>
  <c r="S114" i="3" s="1"/>
  <c r="T114" i="3"/>
  <c r="U114" i="3" s="1"/>
  <c r="R115" i="3"/>
  <c r="S115" i="3" s="1"/>
  <c r="T115" i="3"/>
  <c r="U115" i="3" s="1"/>
  <c r="R116" i="3"/>
  <c r="S116" i="3" s="1"/>
  <c r="T116" i="3"/>
  <c r="U116" i="3" s="1"/>
  <c r="R117" i="3"/>
  <c r="S117" i="3" s="1"/>
  <c r="T117" i="3"/>
  <c r="U117" i="3" s="1"/>
  <c r="R118" i="3"/>
  <c r="S118" i="3" s="1"/>
  <c r="T118" i="3"/>
  <c r="U118" i="3" s="1"/>
  <c r="R119" i="3"/>
  <c r="S119" i="3" s="1"/>
  <c r="T119" i="3"/>
  <c r="U119" i="3" s="1"/>
  <c r="R120" i="3"/>
  <c r="S120" i="3" s="1"/>
  <c r="T120" i="3"/>
  <c r="U120" i="3" s="1"/>
  <c r="R121" i="3"/>
  <c r="S121" i="3" s="1"/>
  <c r="T121" i="3"/>
  <c r="U121" i="3" s="1"/>
  <c r="R122" i="3"/>
  <c r="S122" i="3" s="1"/>
  <c r="T122" i="3"/>
  <c r="U122" i="3" s="1"/>
  <c r="R123" i="3"/>
  <c r="S123" i="3" s="1"/>
  <c r="T123" i="3"/>
  <c r="U123" i="3" s="1"/>
  <c r="R124" i="3"/>
  <c r="S124" i="3" s="1"/>
  <c r="T124" i="3"/>
  <c r="U124" i="3" s="1"/>
  <c r="R125" i="3"/>
  <c r="S125" i="3" s="1"/>
  <c r="T125" i="3"/>
  <c r="U125" i="3" s="1"/>
  <c r="R126" i="3"/>
  <c r="S126" i="3" s="1"/>
  <c r="T126" i="3"/>
  <c r="U126" i="3" s="1"/>
  <c r="R127" i="3"/>
  <c r="S127" i="3" s="1"/>
  <c r="T127" i="3"/>
  <c r="U127" i="3" s="1"/>
  <c r="R128" i="3"/>
  <c r="S128" i="3" s="1"/>
  <c r="T128" i="3"/>
  <c r="U128" i="3" s="1"/>
  <c r="R129" i="3"/>
  <c r="S129" i="3" s="1"/>
  <c r="T129" i="3"/>
  <c r="U129" i="3" s="1"/>
  <c r="R130" i="3"/>
  <c r="S130" i="3" s="1"/>
  <c r="T130" i="3"/>
  <c r="U130" i="3" s="1"/>
  <c r="R131" i="3"/>
  <c r="S131" i="3" s="1"/>
  <c r="T131" i="3"/>
  <c r="U131" i="3" s="1"/>
  <c r="R132" i="3"/>
  <c r="S132" i="3" s="1"/>
  <c r="T132" i="3"/>
  <c r="U132" i="3" s="1"/>
  <c r="R133" i="3"/>
  <c r="S133" i="3" s="1"/>
  <c r="T133" i="3"/>
  <c r="U133" i="3" s="1"/>
  <c r="R134" i="3"/>
  <c r="S134" i="3" s="1"/>
  <c r="T134" i="3"/>
  <c r="U134" i="3" s="1"/>
  <c r="R135" i="3"/>
  <c r="S135" i="3" s="1"/>
  <c r="T135" i="3"/>
  <c r="U135" i="3" s="1"/>
  <c r="R136" i="3"/>
  <c r="S136" i="3" s="1"/>
  <c r="T136" i="3"/>
  <c r="U136" i="3" s="1"/>
  <c r="R137" i="3"/>
  <c r="S137" i="3" s="1"/>
  <c r="T137" i="3"/>
  <c r="U137" i="3" s="1"/>
  <c r="R138" i="3"/>
  <c r="S138" i="3" s="1"/>
  <c r="T138" i="3"/>
  <c r="U138" i="3" s="1"/>
  <c r="R139" i="3"/>
  <c r="S139" i="3" s="1"/>
  <c r="T139" i="3"/>
  <c r="U139" i="3" s="1"/>
  <c r="R140" i="3"/>
  <c r="S140" i="3" s="1"/>
  <c r="T140" i="3"/>
  <c r="U140" i="3" s="1"/>
  <c r="R141" i="3"/>
  <c r="S141" i="3" s="1"/>
  <c r="T141" i="3"/>
  <c r="U141" i="3" s="1"/>
  <c r="R142" i="3"/>
  <c r="S142" i="3" s="1"/>
  <c r="T142" i="3"/>
  <c r="U142" i="3" s="1"/>
  <c r="R143" i="3"/>
  <c r="S143" i="3" s="1"/>
  <c r="T143" i="3"/>
  <c r="U143" i="3" s="1"/>
  <c r="R144" i="3"/>
  <c r="S144" i="3" s="1"/>
  <c r="T144" i="3"/>
  <c r="U144" i="3" s="1"/>
  <c r="R145" i="3"/>
  <c r="S145" i="3" s="1"/>
  <c r="T145" i="3"/>
  <c r="U145" i="3" s="1"/>
  <c r="R146" i="3"/>
  <c r="S146" i="3" s="1"/>
  <c r="T146" i="3"/>
  <c r="U146" i="3" s="1"/>
  <c r="R147" i="3"/>
  <c r="S147" i="3" s="1"/>
  <c r="T147" i="3"/>
  <c r="U147" i="3" s="1"/>
  <c r="R148" i="3"/>
  <c r="S148" i="3" s="1"/>
  <c r="T148" i="3"/>
  <c r="U148" i="3" s="1"/>
  <c r="R149" i="3"/>
  <c r="S149" i="3" s="1"/>
  <c r="T149" i="3"/>
  <c r="U149" i="3" s="1"/>
  <c r="R150" i="3"/>
  <c r="S150" i="3" s="1"/>
  <c r="T150" i="3"/>
  <c r="U150" i="3" s="1"/>
  <c r="R151" i="3"/>
  <c r="S151" i="3" s="1"/>
  <c r="T151" i="3"/>
  <c r="U151" i="3" s="1"/>
  <c r="R152" i="3"/>
  <c r="S152" i="3" s="1"/>
  <c r="T152" i="3"/>
  <c r="U152" i="3" s="1"/>
  <c r="R153" i="3"/>
  <c r="S153" i="3" s="1"/>
  <c r="T153" i="3"/>
  <c r="U153" i="3" s="1"/>
  <c r="R154" i="3"/>
  <c r="S154" i="3" s="1"/>
  <c r="T154" i="3"/>
  <c r="U154" i="3" s="1"/>
  <c r="T2" i="3"/>
  <c r="U2" i="3" s="1"/>
  <c r="R2" i="3"/>
  <c r="S2" i="3" s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2" i="3"/>
  <c r="U116" i="2"/>
  <c r="U120" i="2"/>
  <c r="U121" i="2"/>
  <c r="U164" i="2"/>
  <c r="U212" i="2"/>
  <c r="U236" i="2"/>
  <c r="U240" i="2"/>
  <c r="U241" i="2"/>
  <c r="U242" i="2"/>
  <c r="U308" i="2"/>
  <c r="U380" i="2"/>
  <c r="U382" i="2"/>
  <c r="U384" i="2"/>
  <c r="U385" i="2"/>
  <c r="U404" i="2"/>
  <c r="U428" i="2"/>
  <c r="U433" i="2"/>
  <c r="U502" i="2"/>
  <c r="U504" i="2"/>
  <c r="U548" i="2"/>
  <c r="U620" i="2"/>
  <c r="U621" i="2"/>
  <c r="T2" i="2"/>
  <c r="U2" i="2" s="1"/>
  <c r="T3" i="2"/>
  <c r="U3" i="2" s="1"/>
  <c r="T4" i="2"/>
  <c r="U4" i="2" s="1"/>
  <c r="T5" i="2"/>
  <c r="U5" i="2" s="1"/>
  <c r="T6" i="2"/>
  <c r="U6" i="2" s="1"/>
  <c r="T7" i="2"/>
  <c r="U7" i="2" s="1"/>
  <c r="T8" i="2"/>
  <c r="U8" i="2" s="1"/>
  <c r="T9" i="2"/>
  <c r="U9" i="2" s="1"/>
  <c r="T10" i="2"/>
  <c r="U10" i="2" s="1"/>
  <c r="T11" i="2"/>
  <c r="U11" i="2" s="1"/>
  <c r="T12" i="2"/>
  <c r="U12" i="2" s="1"/>
  <c r="T13" i="2"/>
  <c r="U13" i="2" s="1"/>
  <c r="T14" i="2"/>
  <c r="U14" i="2" s="1"/>
  <c r="T15" i="2"/>
  <c r="U15" i="2" s="1"/>
  <c r="T16" i="2"/>
  <c r="U16" i="2" s="1"/>
  <c r="T17" i="2"/>
  <c r="U17" i="2" s="1"/>
  <c r="T18" i="2"/>
  <c r="U18" i="2" s="1"/>
  <c r="T19" i="2"/>
  <c r="U19" i="2" s="1"/>
  <c r="T20" i="2"/>
  <c r="U20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7" i="2"/>
  <c r="U27" i="2" s="1"/>
  <c r="T28" i="2"/>
  <c r="U28" i="2" s="1"/>
  <c r="T29" i="2"/>
  <c r="U29" i="2" s="1"/>
  <c r="T30" i="2"/>
  <c r="U30" i="2" s="1"/>
  <c r="T31" i="2"/>
  <c r="U31" i="2" s="1"/>
  <c r="T32" i="2"/>
  <c r="U32" i="2" s="1"/>
  <c r="T33" i="2"/>
  <c r="U33" i="2" s="1"/>
  <c r="T34" i="2"/>
  <c r="U34" i="2" s="1"/>
  <c r="T35" i="2"/>
  <c r="U35" i="2" s="1"/>
  <c r="T36" i="2"/>
  <c r="U36" i="2" s="1"/>
  <c r="T37" i="2"/>
  <c r="U37" i="2" s="1"/>
  <c r="T38" i="2"/>
  <c r="U38" i="2" s="1"/>
  <c r="T39" i="2"/>
  <c r="U39" i="2" s="1"/>
  <c r="T40" i="2"/>
  <c r="U40" i="2" s="1"/>
  <c r="T41" i="2"/>
  <c r="U41" i="2" s="1"/>
  <c r="T42" i="2"/>
  <c r="U42" i="2" s="1"/>
  <c r="T43" i="2"/>
  <c r="U43" i="2" s="1"/>
  <c r="T44" i="2"/>
  <c r="U44" i="2" s="1"/>
  <c r="T45" i="2"/>
  <c r="U45" i="2" s="1"/>
  <c r="T46" i="2"/>
  <c r="U46" i="2" s="1"/>
  <c r="T47" i="2"/>
  <c r="U47" i="2" s="1"/>
  <c r="T48" i="2"/>
  <c r="U48" i="2" s="1"/>
  <c r="T49" i="2"/>
  <c r="U49" i="2" s="1"/>
  <c r="T50" i="2"/>
  <c r="U50" i="2" s="1"/>
  <c r="T51" i="2"/>
  <c r="U51" i="2" s="1"/>
  <c r="T52" i="2"/>
  <c r="U52" i="2" s="1"/>
  <c r="T53" i="2"/>
  <c r="U53" i="2" s="1"/>
  <c r="T54" i="2"/>
  <c r="U54" i="2" s="1"/>
  <c r="T55" i="2"/>
  <c r="U55" i="2" s="1"/>
  <c r="T56" i="2"/>
  <c r="U56" i="2" s="1"/>
  <c r="T57" i="2"/>
  <c r="U57" i="2" s="1"/>
  <c r="T58" i="2"/>
  <c r="U58" i="2" s="1"/>
  <c r="T59" i="2"/>
  <c r="U59" i="2" s="1"/>
  <c r="T60" i="2"/>
  <c r="U60" i="2" s="1"/>
  <c r="T61" i="2"/>
  <c r="U61" i="2" s="1"/>
  <c r="T62" i="2"/>
  <c r="U62" i="2" s="1"/>
  <c r="T63" i="2"/>
  <c r="U63" i="2" s="1"/>
  <c r="T64" i="2"/>
  <c r="U64" i="2" s="1"/>
  <c r="T65" i="2"/>
  <c r="U65" i="2" s="1"/>
  <c r="T66" i="2"/>
  <c r="U66" i="2" s="1"/>
  <c r="T67" i="2"/>
  <c r="U67" i="2" s="1"/>
  <c r="T68" i="2"/>
  <c r="U68" i="2" s="1"/>
  <c r="T69" i="2"/>
  <c r="U69" i="2" s="1"/>
  <c r="T70" i="2"/>
  <c r="U70" i="2" s="1"/>
  <c r="T71" i="2"/>
  <c r="U71" i="2" s="1"/>
  <c r="T72" i="2"/>
  <c r="U72" i="2" s="1"/>
  <c r="T73" i="2"/>
  <c r="U73" i="2" s="1"/>
  <c r="T74" i="2"/>
  <c r="U74" i="2" s="1"/>
  <c r="T75" i="2"/>
  <c r="U75" i="2" s="1"/>
  <c r="T76" i="2"/>
  <c r="U76" i="2" s="1"/>
  <c r="T77" i="2"/>
  <c r="U77" i="2" s="1"/>
  <c r="T78" i="2"/>
  <c r="U78" i="2" s="1"/>
  <c r="T79" i="2"/>
  <c r="U79" i="2" s="1"/>
  <c r="T80" i="2"/>
  <c r="U80" i="2" s="1"/>
  <c r="T81" i="2"/>
  <c r="U81" i="2" s="1"/>
  <c r="T82" i="2"/>
  <c r="U82" i="2" s="1"/>
  <c r="T83" i="2"/>
  <c r="U83" i="2" s="1"/>
  <c r="T84" i="2"/>
  <c r="U84" i="2" s="1"/>
  <c r="T85" i="2"/>
  <c r="U85" i="2" s="1"/>
  <c r="T86" i="2"/>
  <c r="U86" i="2" s="1"/>
  <c r="T87" i="2"/>
  <c r="U87" i="2" s="1"/>
  <c r="T88" i="2"/>
  <c r="U88" i="2" s="1"/>
  <c r="T89" i="2"/>
  <c r="U89" i="2" s="1"/>
  <c r="T90" i="2"/>
  <c r="U90" i="2" s="1"/>
  <c r="T91" i="2"/>
  <c r="U91" i="2" s="1"/>
  <c r="T92" i="2"/>
  <c r="U92" i="2" s="1"/>
  <c r="T93" i="2"/>
  <c r="U93" i="2" s="1"/>
  <c r="T94" i="2"/>
  <c r="U94" i="2" s="1"/>
  <c r="T95" i="2"/>
  <c r="U95" i="2" s="1"/>
  <c r="T96" i="2"/>
  <c r="U96" i="2" s="1"/>
  <c r="T97" i="2"/>
  <c r="U97" i="2" s="1"/>
  <c r="T98" i="2"/>
  <c r="U98" i="2" s="1"/>
  <c r="T99" i="2"/>
  <c r="U99" i="2" s="1"/>
  <c r="T100" i="2"/>
  <c r="U100" i="2" s="1"/>
  <c r="T101" i="2"/>
  <c r="U101" i="2" s="1"/>
  <c r="T102" i="2"/>
  <c r="U102" i="2" s="1"/>
  <c r="T103" i="2"/>
  <c r="U103" i="2" s="1"/>
  <c r="T104" i="2"/>
  <c r="U104" i="2" s="1"/>
  <c r="T105" i="2"/>
  <c r="U105" i="2" s="1"/>
  <c r="T106" i="2"/>
  <c r="U106" i="2" s="1"/>
  <c r="T107" i="2"/>
  <c r="U107" i="2" s="1"/>
  <c r="T108" i="2"/>
  <c r="U108" i="2" s="1"/>
  <c r="T109" i="2"/>
  <c r="U109" i="2" s="1"/>
  <c r="T110" i="2"/>
  <c r="U110" i="2" s="1"/>
  <c r="T111" i="2"/>
  <c r="U111" i="2" s="1"/>
  <c r="T112" i="2"/>
  <c r="U112" i="2" s="1"/>
  <c r="T113" i="2"/>
  <c r="U113" i="2" s="1"/>
  <c r="T114" i="2"/>
  <c r="U114" i="2" s="1"/>
  <c r="T115" i="2"/>
  <c r="U115" i="2" s="1"/>
  <c r="T116" i="2"/>
  <c r="T117" i="2"/>
  <c r="U117" i="2" s="1"/>
  <c r="T118" i="2"/>
  <c r="U118" i="2" s="1"/>
  <c r="T119" i="2"/>
  <c r="U119" i="2" s="1"/>
  <c r="T120" i="2"/>
  <c r="T121" i="2"/>
  <c r="T122" i="2"/>
  <c r="U122" i="2" s="1"/>
  <c r="T123" i="2"/>
  <c r="U123" i="2" s="1"/>
  <c r="T124" i="2"/>
  <c r="U124" i="2" s="1"/>
  <c r="T125" i="2"/>
  <c r="U125" i="2" s="1"/>
  <c r="T126" i="2"/>
  <c r="U126" i="2" s="1"/>
  <c r="T127" i="2"/>
  <c r="U127" i="2" s="1"/>
  <c r="T128" i="2"/>
  <c r="U128" i="2" s="1"/>
  <c r="T129" i="2"/>
  <c r="U129" i="2" s="1"/>
  <c r="T130" i="2"/>
  <c r="U130" i="2" s="1"/>
  <c r="T131" i="2"/>
  <c r="U131" i="2" s="1"/>
  <c r="T132" i="2"/>
  <c r="U132" i="2" s="1"/>
  <c r="T133" i="2"/>
  <c r="U133" i="2" s="1"/>
  <c r="T134" i="2"/>
  <c r="U134" i="2" s="1"/>
  <c r="T135" i="2"/>
  <c r="U135" i="2" s="1"/>
  <c r="T136" i="2"/>
  <c r="U136" i="2" s="1"/>
  <c r="T137" i="2"/>
  <c r="U137" i="2" s="1"/>
  <c r="T138" i="2"/>
  <c r="U138" i="2" s="1"/>
  <c r="T139" i="2"/>
  <c r="U139" i="2" s="1"/>
  <c r="T140" i="2"/>
  <c r="U140" i="2" s="1"/>
  <c r="T141" i="2"/>
  <c r="U141" i="2" s="1"/>
  <c r="T142" i="2"/>
  <c r="U142" i="2" s="1"/>
  <c r="T143" i="2"/>
  <c r="U143" i="2" s="1"/>
  <c r="T144" i="2"/>
  <c r="U144" i="2" s="1"/>
  <c r="T145" i="2"/>
  <c r="U145" i="2" s="1"/>
  <c r="T146" i="2"/>
  <c r="U146" i="2" s="1"/>
  <c r="T147" i="2"/>
  <c r="U147" i="2" s="1"/>
  <c r="T148" i="2"/>
  <c r="U148" i="2" s="1"/>
  <c r="T149" i="2"/>
  <c r="U149" i="2" s="1"/>
  <c r="T150" i="2"/>
  <c r="U150" i="2" s="1"/>
  <c r="T151" i="2"/>
  <c r="U151" i="2" s="1"/>
  <c r="T152" i="2"/>
  <c r="U152" i="2" s="1"/>
  <c r="T153" i="2"/>
  <c r="U153" i="2" s="1"/>
  <c r="T154" i="2"/>
  <c r="U154" i="2" s="1"/>
  <c r="T155" i="2"/>
  <c r="U155" i="2" s="1"/>
  <c r="T156" i="2"/>
  <c r="U156" i="2" s="1"/>
  <c r="T157" i="2"/>
  <c r="U157" i="2" s="1"/>
  <c r="T158" i="2"/>
  <c r="U158" i="2" s="1"/>
  <c r="T159" i="2"/>
  <c r="U159" i="2" s="1"/>
  <c r="T160" i="2"/>
  <c r="U160" i="2" s="1"/>
  <c r="T161" i="2"/>
  <c r="U161" i="2" s="1"/>
  <c r="T162" i="2"/>
  <c r="U162" i="2" s="1"/>
  <c r="T163" i="2"/>
  <c r="U163" i="2" s="1"/>
  <c r="T164" i="2"/>
  <c r="T165" i="2"/>
  <c r="U165" i="2" s="1"/>
  <c r="T166" i="2"/>
  <c r="U166" i="2" s="1"/>
  <c r="T167" i="2"/>
  <c r="U167" i="2" s="1"/>
  <c r="T168" i="2"/>
  <c r="U168" i="2" s="1"/>
  <c r="T169" i="2"/>
  <c r="U169" i="2" s="1"/>
  <c r="T170" i="2"/>
  <c r="U170" i="2" s="1"/>
  <c r="T171" i="2"/>
  <c r="U171" i="2" s="1"/>
  <c r="T172" i="2"/>
  <c r="U172" i="2" s="1"/>
  <c r="T173" i="2"/>
  <c r="U173" i="2" s="1"/>
  <c r="T174" i="2"/>
  <c r="U174" i="2" s="1"/>
  <c r="T175" i="2"/>
  <c r="U175" i="2" s="1"/>
  <c r="T176" i="2"/>
  <c r="U176" i="2" s="1"/>
  <c r="T177" i="2"/>
  <c r="U177" i="2" s="1"/>
  <c r="T178" i="2"/>
  <c r="U178" i="2" s="1"/>
  <c r="T179" i="2"/>
  <c r="U179" i="2" s="1"/>
  <c r="T180" i="2"/>
  <c r="U180" i="2" s="1"/>
  <c r="T181" i="2"/>
  <c r="U181" i="2" s="1"/>
  <c r="T182" i="2"/>
  <c r="U182" i="2" s="1"/>
  <c r="T183" i="2"/>
  <c r="U183" i="2" s="1"/>
  <c r="T184" i="2"/>
  <c r="U184" i="2" s="1"/>
  <c r="T185" i="2"/>
  <c r="U185" i="2" s="1"/>
  <c r="T186" i="2"/>
  <c r="U186" i="2" s="1"/>
  <c r="T187" i="2"/>
  <c r="U187" i="2" s="1"/>
  <c r="T188" i="2"/>
  <c r="U188" i="2" s="1"/>
  <c r="T189" i="2"/>
  <c r="U189" i="2" s="1"/>
  <c r="T190" i="2"/>
  <c r="U190" i="2" s="1"/>
  <c r="T191" i="2"/>
  <c r="U191" i="2" s="1"/>
  <c r="T192" i="2"/>
  <c r="U192" i="2" s="1"/>
  <c r="T193" i="2"/>
  <c r="U193" i="2" s="1"/>
  <c r="T194" i="2"/>
  <c r="U194" i="2" s="1"/>
  <c r="T195" i="2"/>
  <c r="U195" i="2" s="1"/>
  <c r="T196" i="2"/>
  <c r="U196" i="2" s="1"/>
  <c r="T197" i="2"/>
  <c r="U197" i="2" s="1"/>
  <c r="T198" i="2"/>
  <c r="U198" i="2" s="1"/>
  <c r="T199" i="2"/>
  <c r="U199" i="2" s="1"/>
  <c r="T200" i="2"/>
  <c r="U200" i="2" s="1"/>
  <c r="T201" i="2"/>
  <c r="U201" i="2" s="1"/>
  <c r="T202" i="2"/>
  <c r="U202" i="2" s="1"/>
  <c r="T203" i="2"/>
  <c r="U203" i="2" s="1"/>
  <c r="T204" i="2"/>
  <c r="U204" i="2" s="1"/>
  <c r="T205" i="2"/>
  <c r="U205" i="2" s="1"/>
  <c r="T206" i="2"/>
  <c r="U206" i="2" s="1"/>
  <c r="T207" i="2"/>
  <c r="U207" i="2" s="1"/>
  <c r="T208" i="2"/>
  <c r="U208" i="2" s="1"/>
  <c r="T209" i="2"/>
  <c r="U209" i="2" s="1"/>
  <c r="T210" i="2"/>
  <c r="U210" i="2" s="1"/>
  <c r="T211" i="2"/>
  <c r="U211" i="2" s="1"/>
  <c r="T212" i="2"/>
  <c r="T213" i="2"/>
  <c r="U213" i="2" s="1"/>
  <c r="T214" i="2"/>
  <c r="U214" i="2" s="1"/>
  <c r="T215" i="2"/>
  <c r="U215" i="2" s="1"/>
  <c r="T216" i="2"/>
  <c r="U216" i="2" s="1"/>
  <c r="T217" i="2"/>
  <c r="U217" i="2" s="1"/>
  <c r="T218" i="2"/>
  <c r="U218" i="2" s="1"/>
  <c r="T219" i="2"/>
  <c r="U219" i="2" s="1"/>
  <c r="T220" i="2"/>
  <c r="U220" i="2" s="1"/>
  <c r="T221" i="2"/>
  <c r="U221" i="2" s="1"/>
  <c r="T222" i="2"/>
  <c r="U222" i="2" s="1"/>
  <c r="T223" i="2"/>
  <c r="U223" i="2" s="1"/>
  <c r="T224" i="2"/>
  <c r="U224" i="2" s="1"/>
  <c r="T225" i="2"/>
  <c r="U225" i="2" s="1"/>
  <c r="T226" i="2"/>
  <c r="U226" i="2" s="1"/>
  <c r="T227" i="2"/>
  <c r="U227" i="2" s="1"/>
  <c r="T228" i="2"/>
  <c r="U228" i="2" s="1"/>
  <c r="T229" i="2"/>
  <c r="U229" i="2" s="1"/>
  <c r="T230" i="2"/>
  <c r="U230" i="2" s="1"/>
  <c r="T231" i="2"/>
  <c r="U231" i="2" s="1"/>
  <c r="T232" i="2"/>
  <c r="U232" i="2" s="1"/>
  <c r="T233" i="2"/>
  <c r="U233" i="2" s="1"/>
  <c r="T234" i="2"/>
  <c r="U234" i="2" s="1"/>
  <c r="T235" i="2"/>
  <c r="U235" i="2" s="1"/>
  <c r="T236" i="2"/>
  <c r="T237" i="2"/>
  <c r="U237" i="2" s="1"/>
  <c r="T238" i="2"/>
  <c r="U238" i="2" s="1"/>
  <c r="T239" i="2"/>
  <c r="U239" i="2" s="1"/>
  <c r="T240" i="2"/>
  <c r="T241" i="2"/>
  <c r="T242" i="2"/>
  <c r="T243" i="2"/>
  <c r="U243" i="2" s="1"/>
  <c r="T244" i="2"/>
  <c r="U244" i="2" s="1"/>
  <c r="T245" i="2"/>
  <c r="U245" i="2" s="1"/>
  <c r="T246" i="2"/>
  <c r="U246" i="2" s="1"/>
  <c r="T247" i="2"/>
  <c r="U247" i="2" s="1"/>
  <c r="T248" i="2"/>
  <c r="U248" i="2" s="1"/>
  <c r="T249" i="2"/>
  <c r="U249" i="2" s="1"/>
  <c r="T250" i="2"/>
  <c r="U250" i="2" s="1"/>
  <c r="T251" i="2"/>
  <c r="U251" i="2" s="1"/>
  <c r="T252" i="2"/>
  <c r="U252" i="2" s="1"/>
  <c r="T253" i="2"/>
  <c r="U253" i="2" s="1"/>
  <c r="T254" i="2"/>
  <c r="U254" i="2" s="1"/>
  <c r="T255" i="2"/>
  <c r="U255" i="2" s="1"/>
  <c r="T256" i="2"/>
  <c r="U256" i="2" s="1"/>
  <c r="T257" i="2"/>
  <c r="U257" i="2" s="1"/>
  <c r="T258" i="2"/>
  <c r="U258" i="2" s="1"/>
  <c r="T259" i="2"/>
  <c r="U259" i="2" s="1"/>
  <c r="T260" i="2"/>
  <c r="U260" i="2" s="1"/>
  <c r="T261" i="2"/>
  <c r="U261" i="2" s="1"/>
  <c r="T262" i="2"/>
  <c r="U262" i="2" s="1"/>
  <c r="T263" i="2"/>
  <c r="U263" i="2" s="1"/>
  <c r="T264" i="2"/>
  <c r="U264" i="2" s="1"/>
  <c r="T265" i="2"/>
  <c r="U265" i="2" s="1"/>
  <c r="T266" i="2"/>
  <c r="U266" i="2" s="1"/>
  <c r="T267" i="2"/>
  <c r="U267" i="2" s="1"/>
  <c r="T268" i="2"/>
  <c r="U268" i="2" s="1"/>
  <c r="T269" i="2"/>
  <c r="U269" i="2" s="1"/>
  <c r="T270" i="2"/>
  <c r="U270" i="2" s="1"/>
  <c r="T271" i="2"/>
  <c r="U271" i="2" s="1"/>
  <c r="T272" i="2"/>
  <c r="U272" i="2" s="1"/>
  <c r="T273" i="2"/>
  <c r="U273" i="2" s="1"/>
  <c r="T274" i="2"/>
  <c r="U274" i="2" s="1"/>
  <c r="T275" i="2"/>
  <c r="U275" i="2" s="1"/>
  <c r="T276" i="2"/>
  <c r="U276" i="2" s="1"/>
  <c r="T277" i="2"/>
  <c r="U277" i="2" s="1"/>
  <c r="T278" i="2"/>
  <c r="U278" i="2" s="1"/>
  <c r="T279" i="2"/>
  <c r="U279" i="2" s="1"/>
  <c r="T280" i="2"/>
  <c r="U280" i="2" s="1"/>
  <c r="T281" i="2"/>
  <c r="U281" i="2" s="1"/>
  <c r="T282" i="2"/>
  <c r="U282" i="2" s="1"/>
  <c r="T283" i="2"/>
  <c r="U283" i="2" s="1"/>
  <c r="T284" i="2"/>
  <c r="U284" i="2" s="1"/>
  <c r="T285" i="2"/>
  <c r="U285" i="2" s="1"/>
  <c r="T286" i="2"/>
  <c r="U286" i="2" s="1"/>
  <c r="T287" i="2"/>
  <c r="U287" i="2" s="1"/>
  <c r="T288" i="2"/>
  <c r="U288" i="2" s="1"/>
  <c r="T289" i="2"/>
  <c r="U289" i="2" s="1"/>
  <c r="T290" i="2"/>
  <c r="U290" i="2" s="1"/>
  <c r="T291" i="2"/>
  <c r="U291" i="2" s="1"/>
  <c r="T292" i="2"/>
  <c r="U292" i="2" s="1"/>
  <c r="T293" i="2"/>
  <c r="U293" i="2" s="1"/>
  <c r="T294" i="2"/>
  <c r="U294" i="2" s="1"/>
  <c r="T295" i="2"/>
  <c r="U295" i="2" s="1"/>
  <c r="T296" i="2"/>
  <c r="U296" i="2" s="1"/>
  <c r="T297" i="2"/>
  <c r="U297" i="2" s="1"/>
  <c r="T298" i="2"/>
  <c r="U298" i="2" s="1"/>
  <c r="T299" i="2"/>
  <c r="U299" i="2" s="1"/>
  <c r="T300" i="2"/>
  <c r="U300" i="2" s="1"/>
  <c r="T301" i="2"/>
  <c r="U301" i="2" s="1"/>
  <c r="T302" i="2"/>
  <c r="U302" i="2" s="1"/>
  <c r="T303" i="2"/>
  <c r="U303" i="2" s="1"/>
  <c r="T304" i="2"/>
  <c r="U304" i="2" s="1"/>
  <c r="T305" i="2"/>
  <c r="U305" i="2" s="1"/>
  <c r="T306" i="2"/>
  <c r="U306" i="2" s="1"/>
  <c r="T307" i="2"/>
  <c r="U307" i="2" s="1"/>
  <c r="T308" i="2"/>
  <c r="T309" i="2"/>
  <c r="U309" i="2" s="1"/>
  <c r="T310" i="2"/>
  <c r="U310" i="2" s="1"/>
  <c r="T311" i="2"/>
  <c r="U311" i="2" s="1"/>
  <c r="T312" i="2"/>
  <c r="U312" i="2" s="1"/>
  <c r="T313" i="2"/>
  <c r="U313" i="2" s="1"/>
  <c r="T314" i="2"/>
  <c r="U314" i="2" s="1"/>
  <c r="T315" i="2"/>
  <c r="U315" i="2" s="1"/>
  <c r="T316" i="2"/>
  <c r="U316" i="2" s="1"/>
  <c r="T317" i="2"/>
  <c r="U317" i="2" s="1"/>
  <c r="T318" i="2"/>
  <c r="U318" i="2" s="1"/>
  <c r="T319" i="2"/>
  <c r="U319" i="2" s="1"/>
  <c r="T320" i="2"/>
  <c r="U320" i="2" s="1"/>
  <c r="T321" i="2"/>
  <c r="U321" i="2" s="1"/>
  <c r="T322" i="2"/>
  <c r="U322" i="2" s="1"/>
  <c r="T323" i="2"/>
  <c r="U323" i="2" s="1"/>
  <c r="T324" i="2"/>
  <c r="U324" i="2" s="1"/>
  <c r="T325" i="2"/>
  <c r="U325" i="2" s="1"/>
  <c r="T326" i="2"/>
  <c r="U326" i="2" s="1"/>
  <c r="T327" i="2"/>
  <c r="U327" i="2" s="1"/>
  <c r="T328" i="2"/>
  <c r="U328" i="2" s="1"/>
  <c r="T329" i="2"/>
  <c r="U329" i="2" s="1"/>
  <c r="T330" i="2"/>
  <c r="U330" i="2" s="1"/>
  <c r="T331" i="2"/>
  <c r="U331" i="2" s="1"/>
  <c r="T332" i="2"/>
  <c r="U332" i="2" s="1"/>
  <c r="T333" i="2"/>
  <c r="U333" i="2" s="1"/>
  <c r="T334" i="2"/>
  <c r="U334" i="2" s="1"/>
  <c r="T335" i="2"/>
  <c r="U335" i="2" s="1"/>
  <c r="T336" i="2"/>
  <c r="U336" i="2" s="1"/>
  <c r="T337" i="2"/>
  <c r="U337" i="2" s="1"/>
  <c r="T338" i="2"/>
  <c r="U338" i="2" s="1"/>
  <c r="T339" i="2"/>
  <c r="U339" i="2" s="1"/>
  <c r="T340" i="2"/>
  <c r="U340" i="2" s="1"/>
  <c r="T341" i="2"/>
  <c r="U341" i="2" s="1"/>
  <c r="T342" i="2"/>
  <c r="U342" i="2" s="1"/>
  <c r="T343" i="2"/>
  <c r="U343" i="2" s="1"/>
  <c r="T344" i="2"/>
  <c r="U344" i="2" s="1"/>
  <c r="T345" i="2"/>
  <c r="U345" i="2" s="1"/>
  <c r="T346" i="2"/>
  <c r="U346" i="2" s="1"/>
  <c r="T347" i="2"/>
  <c r="U347" i="2" s="1"/>
  <c r="T348" i="2"/>
  <c r="U348" i="2" s="1"/>
  <c r="T349" i="2"/>
  <c r="U349" i="2" s="1"/>
  <c r="T350" i="2"/>
  <c r="U350" i="2" s="1"/>
  <c r="T351" i="2"/>
  <c r="U351" i="2" s="1"/>
  <c r="T352" i="2"/>
  <c r="U352" i="2" s="1"/>
  <c r="T353" i="2"/>
  <c r="U353" i="2" s="1"/>
  <c r="T354" i="2"/>
  <c r="U354" i="2" s="1"/>
  <c r="T355" i="2"/>
  <c r="U355" i="2" s="1"/>
  <c r="T356" i="2"/>
  <c r="U356" i="2" s="1"/>
  <c r="T357" i="2"/>
  <c r="U357" i="2" s="1"/>
  <c r="T358" i="2"/>
  <c r="U358" i="2" s="1"/>
  <c r="T359" i="2"/>
  <c r="U359" i="2" s="1"/>
  <c r="T360" i="2"/>
  <c r="U360" i="2" s="1"/>
  <c r="T361" i="2"/>
  <c r="U361" i="2" s="1"/>
  <c r="T362" i="2"/>
  <c r="U362" i="2" s="1"/>
  <c r="T363" i="2"/>
  <c r="U363" i="2" s="1"/>
  <c r="T364" i="2"/>
  <c r="U364" i="2" s="1"/>
  <c r="T365" i="2"/>
  <c r="U365" i="2" s="1"/>
  <c r="T366" i="2"/>
  <c r="U366" i="2" s="1"/>
  <c r="T367" i="2"/>
  <c r="U367" i="2" s="1"/>
  <c r="T368" i="2"/>
  <c r="U368" i="2" s="1"/>
  <c r="T369" i="2"/>
  <c r="U369" i="2" s="1"/>
  <c r="T370" i="2"/>
  <c r="U370" i="2" s="1"/>
  <c r="T371" i="2"/>
  <c r="U371" i="2" s="1"/>
  <c r="T372" i="2"/>
  <c r="U372" i="2" s="1"/>
  <c r="T373" i="2"/>
  <c r="U373" i="2" s="1"/>
  <c r="T374" i="2"/>
  <c r="U374" i="2" s="1"/>
  <c r="T375" i="2"/>
  <c r="U375" i="2" s="1"/>
  <c r="T376" i="2"/>
  <c r="U376" i="2" s="1"/>
  <c r="T377" i="2"/>
  <c r="U377" i="2" s="1"/>
  <c r="T378" i="2"/>
  <c r="U378" i="2" s="1"/>
  <c r="T379" i="2"/>
  <c r="U379" i="2" s="1"/>
  <c r="T380" i="2"/>
  <c r="T381" i="2"/>
  <c r="U381" i="2" s="1"/>
  <c r="T382" i="2"/>
  <c r="T383" i="2"/>
  <c r="U383" i="2" s="1"/>
  <c r="T384" i="2"/>
  <c r="T385" i="2"/>
  <c r="T386" i="2"/>
  <c r="U386" i="2" s="1"/>
  <c r="T387" i="2"/>
  <c r="U387" i="2" s="1"/>
  <c r="T388" i="2"/>
  <c r="U388" i="2" s="1"/>
  <c r="T389" i="2"/>
  <c r="U389" i="2" s="1"/>
  <c r="T390" i="2"/>
  <c r="U390" i="2" s="1"/>
  <c r="T391" i="2"/>
  <c r="U391" i="2" s="1"/>
  <c r="T392" i="2"/>
  <c r="U392" i="2" s="1"/>
  <c r="T393" i="2"/>
  <c r="U393" i="2" s="1"/>
  <c r="T394" i="2"/>
  <c r="U394" i="2" s="1"/>
  <c r="T395" i="2"/>
  <c r="U395" i="2" s="1"/>
  <c r="T396" i="2"/>
  <c r="U396" i="2" s="1"/>
  <c r="T397" i="2"/>
  <c r="U397" i="2" s="1"/>
  <c r="T398" i="2"/>
  <c r="U398" i="2" s="1"/>
  <c r="T399" i="2"/>
  <c r="U399" i="2" s="1"/>
  <c r="T400" i="2"/>
  <c r="U400" i="2" s="1"/>
  <c r="T401" i="2"/>
  <c r="U401" i="2" s="1"/>
  <c r="T402" i="2"/>
  <c r="U402" i="2" s="1"/>
  <c r="T403" i="2"/>
  <c r="U403" i="2" s="1"/>
  <c r="T404" i="2"/>
  <c r="T405" i="2"/>
  <c r="U405" i="2" s="1"/>
  <c r="T406" i="2"/>
  <c r="U406" i="2" s="1"/>
  <c r="T407" i="2"/>
  <c r="U407" i="2" s="1"/>
  <c r="T408" i="2"/>
  <c r="U408" i="2" s="1"/>
  <c r="T409" i="2"/>
  <c r="U409" i="2" s="1"/>
  <c r="T410" i="2"/>
  <c r="U410" i="2" s="1"/>
  <c r="T411" i="2"/>
  <c r="U411" i="2" s="1"/>
  <c r="T412" i="2"/>
  <c r="U412" i="2" s="1"/>
  <c r="T413" i="2"/>
  <c r="U413" i="2" s="1"/>
  <c r="T414" i="2"/>
  <c r="U414" i="2" s="1"/>
  <c r="T415" i="2"/>
  <c r="U415" i="2" s="1"/>
  <c r="T416" i="2"/>
  <c r="U416" i="2" s="1"/>
  <c r="T417" i="2"/>
  <c r="U417" i="2" s="1"/>
  <c r="T418" i="2"/>
  <c r="U418" i="2" s="1"/>
  <c r="T419" i="2"/>
  <c r="U419" i="2" s="1"/>
  <c r="T420" i="2"/>
  <c r="U420" i="2" s="1"/>
  <c r="T421" i="2"/>
  <c r="U421" i="2" s="1"/>
  <c r="T422" i="2"/>
  <c r="U422" i="2" s="1"/>
  <c r="T423" i="2"/>
  <c r="U423" i="2" s="1"/>
  <c r="T424" i="2"/>
  <c r="U424" i="2" s="1"/>
  <c r="T425" i="2"/>
  <c r="U425" i="2" s="1"/>
  <c r="T426" i="2"/>
  <c r="U426" i="2" s="1"/>
  <c r="T427" i="2"/>
  <c r="U427" i="2" s="1"/>
  <c r="T428" i="2"/>
  <c r="T429" i="2"/>
  <c r="U429" i="2" s="1"/>
  <c r="T430" i="2"/>
  <c r="U430" i="2" s="1"/>
  <c r="T431" i="2"/>
  <c r="U431" i="2" s="1"/>
  <c r="T432" i="2"/>
  <c r="U432" i="2" s="1"/>
  <c r="T433" i="2"/>
  <c r="T434" i="2"/>
  <c r="U434" i="2" s="1"/>
  <c r="T435" i="2"/>
  <c r="U435" i="2" s="1"/>
  <c r="T436" i="2"/>
  <c r="U436" i="2" s="1"/>
  <c r="T437" i="2"/>
  <c r="U437" i="2" s="1"/>
  <c r="T438" i="2"/>
  <c r="U438" i="2" s="1"/>
  <c r="T439" i="2"/>
  <c r="U439" i="2" s="1"/>
  <c r="T440" i="2"/>
  <c r="U440" i="2" s="1"/>
  <c r="T441" i="2"/>
  <c r="U441" i="2" s="1"/>
  <c r="T442" i="2"/>
  <c r="U442" i="2" s="1"/>
  <c r="T443" i="2"/>
  <c r="U443" i="2" s="1"/>
  <c r="T444" i="2"/>
  <c r="U444" i="2" s="1"/>
  <c r="T445" i="2"/>
  <c r="U445" i="2" s="1"/>
  <c r="T446" i="2"/>
  <c r="U446" i="2" s="1"/>
  <c r="T447" i="2"/>
  <c r="U447" i="2" s="1"/>
  <c r="T448" i="2"/>
  <c r="U448" i="2" s="1"/>
  <c r="T449" i="2"/>
  <c r="U449" i="2" s="1"/>
  <c r="T450" i="2"/>
  <c r="U450" i="2" s="1"/>
  <c r="T451" i="2"/>
  <c r="U451" i="2" s="1"/>
  <c r="T452" i="2"/>
  <c r="U452" i="2" s="1"/>
  <c r="T453" i="2"/>
  <c r="U453" i="2" s="1"/>
  <c r="T454" i="2"/>
  <c r="U454" i="2" s="1"/>
  <c r="T455" i="2"/>
  <c r="U455" i="2" s="1"/>
  <c r="T456" i="2"/>
  <c r="U456" i="2" s="1"/>
  <c r="T457" i="2"/>
  <c r="U457" i="2" s="1"/>
  <c r="T458" i="2"/>
  <c r="U458" i="2" s="1"/>
  <c r="T459" i="2"/>
  <c r="U459" i="2" s="1"/>
  <c r="T460" i="2"/>
  <c r="U460" i="2" s="1"/>
  <c r="T461" i="2"/>
  <c r="U461" i="2" s="1"/>
  <c r="T462" i="2"/>
  <c r="U462" i="2" s="1"/>
  <c r="T463" i="2"/>
  <c r="U463" i="2" s="1"/>
  <c r="T464" i="2"/>
  <c r="U464" i="2" s="1"/>
  <c r="T465" i="2"/>
  <c r="U465" i="2" s="1"/>
  <c r="T466" i="2"/>
  <c r="U466" i="2" s="1"/>
  <c r="T467" i="2"/>
  <c r="U467" i="2" s="1"/>
  <c r="T468" i="2"/>
  <c r="U468" i="2" s="1"/>
  <c r="T469" i="2"/>
  <c r="U469" i="2" s="1"/>
  <c r="T470" i="2"/>
  <c r="U470" i="2" s="1"/>
  <c r="T471" i="2"/>
  <c r="U471" i="2" s="1"/>
  <c r="T472" i="2"/>
  <c r="U472" i="2" s="1"/>
  <c r="T473" i="2"/>
  <c r="U473" i="2" s="1"/>
  <c r="T474" i="2"/>
  <c r="U474" i="2" s="1"/>
  <c r="T475" i="2"/>
  <c r="U475" i="2" s="1"/>
  <c r="T476" i="2"/>
  <c r="U476" i="2" s="1"/>
  <c r="T477" i="2"/>
  <c r="U477" i="2" s="1"/>
  <c r="T478" i="2"/>
  <c r="U478" i="2" s="1"/>
  <c r="T479" i="2"/>
  <c r="U479" i="2" s="1"/>
  <c r="T480" i="2"/>
  <c r="U480" i="2" s="1"/>
  <c r="T481" i="2"/>
  <c r="U481" i="2" s="1"/>
  <c r="T482" i="2"/>
  <c r="U482" i="2" s="1"/>
  <c r="T483" i="2"/>
  <c r="U483" i="2" s="1"/>
  <c r="T484" i="2"/>
  <c r="U484" i="2" s="1"/>
  <c r="T485" i="2"/>
  <c r="U485" i="2" s="1"/>
  <c r="T486" i="2"/>
  <c r="U486" i="2" s="1"/>
  <c r="T487" i="2"/>
  <c r="U487" i="2" s="1"/>
  <c r="T488" i="2"/>
  <c r="U488" i="2" s="1"/>
  <c r="T489" i="2"/>
  <c r="U489" i="2" s="1"/>
  <c r="T490" i="2"/>
  <c r="U490" i="2" s="1"/>
  <c r="T491" i="2"/>
  <c r="U491" i="2" s="1"/>
  <c r="T492" i="2"/>
  <c r="U492" i="2" s="1"/>
  <c r="T493" i="2"/>
  <c r="U493" i="2" s="1"/>
  <c r="T494" i="2"/>
  <c r="U494" i="2" s="1"/>
  <c r="T495" i="2"/>
  <c r="U495" i="2" s="1"/>
  <c r="T496" i="2"/>
  <c r="U496" i="2" s="1"/>
  <c r="T497" i="2"/>
  <c r="U497" i="2" s="1"/>
  <c r="T498" i="2"/>
  <c r="U498" i="2" s="1"/>
  <c r="T499" i="2"/>
  <c r="U499" i="2" s="1"/>
  <c r="T500" i="2"/>
  <c r="U500" i="2" s="1"/>
  <c r="T501" i="2"/>
  <c r="U501" i="2" s="1"/>
  <c r="T502" i="2"/>
  <c r="T503" i="2"/>
  <c r="U503" i="2" s="1"/>
  <c r="T504" i="2"/>
  <c r="T505" i="2"/>
  <c r="U505" i="2" s="1"/>
  <c r="T506" i="2"/>
  <c r="U506" i="2" s="1"/>
  <c r="T507" i="2"/>
  <c r="U507" i="2" s="1"/>
  <c r="T508" i="2"/>
  <c r="U508" i="2" s="1"/>
  <c r="T509" i="2"/>
  <c r="U509" i="2" s="1"/>
  <c r="T510" i="2"/>
  <c r="U510" i="2" s="1"/>
  <c r="T511" i="2"/>
  <c r="U511" i="2" s="1"/>
  <c r="T512" i="2"/>
  <c r="U512" i="2" s="1"/>
  <c r="T513" i="2"/>
  <c r="U513" i="2" s="1"/>
  <c r="T514" i="2"/>
  <c r="U514" i="2" s="1"/>
  <c r="T515" i="2"/>
  <c r="U515" i="2" s="1"/>
  <c r="T516" i="2"/>
  <c r="U516" i="2" s="1"/>
  <c r="T517" i="2"/>
  <c r="U517" i="2" s="1"/>
  <c r="T518" i="2"/>
  <c r="U518" i="2" s="1"/>
  <c r="T519" i="2"/>
  <c r="U519" i="2" s="1"/>
  <c r="T520" i="2"/>
  <c r="U520" i="2" s="1"/>
  <c r="T521" i="2"/>
  <c r="U521" i="2" s="1"/>
  <c r="T522" i="2"/>
  <c r="U522" i="2" s="1"/>
  <c r="T523" i="2"/>
  <c r="U523" i="2" s="1"/>
  <c r="T524" i="2"/>
  <c r="U524" i="2" s="1"/>
  <c r="T525" i="2"/>
  <c r="U525" i="2" s="1"/>
  <c r="T526" i="2"/>
  <c r="U526" i="2" s="1"/>
  <c r="T527" i="2"/>
  <c r="U527" i="2" s="1"/>
  <c r="T528" i="2"/>
  <c r="U528" i="2" s="1"/>
  <c r="T529" i="2"/>
  <c r="U529" i="2" s="1"/>
  <c r="T530" i="2"/>
  <c r="U530" i="2" s="1"/>
  <c r="T531" i="2"/>
  <c r="U531" i="2" s="1"/>
  <c r="T532" i="2"/>
  <c r="U532" i="2" s="1"/>
  <c r="T533" i="2"/>
  <c r="U533" i="2" s="1"/>
  <c r="T534" i="2"/>
  <c r="U534" i="2" s="1"/>
  <c r="T535" i="2"/>
  <c r="U535" i="2" s="1"/>
  <c r="T536" i="2"/>
  <c r="U536" i="2" s="1"/>
  <c r="T537" i="2"/>
  <c r="U537" i="2" s="1"/>
  <c r="T538" i="2"/>
  <c r="U538" i="2" s="1"/>
  <c r="T539" i="2"/>
  <c r="U539" i="2" s="1"/>
  <c r="T540" i="2"/>
  <c r="U540" i="2" s="1"/>
  <c r="T541" i="2"/>
  <c r="U541" i="2" s="1"/>
  <c r="T542" i="2"/>
  <c r="U542" i="2" s="1"/>
  <c r="T543" i="2"/>
  <c r="U543" i="2" s="1"/>
  <c r="T544" i="2"/>
  <c r="U544" i="2" s="1"/>
  <c r="T545" i="2"/>
  <c r="U545" i="2" s="1"/>
  <c r="T546" i="2"/>
  <c r="U546" i="2" s="1"/>
  <c r="T547" i="2"/>
  <c r="U547" i="2" s="1"/>
  <c r="T548" i="2"/>
  <c r="T549" i="2"/>
  <c r="U549" i="2" s="1"/>
  <c r="T550" i="2"/>
  <c r="U550" i="2" s="1"/>
  <c r="T551" i="2"/>
  <c r="U551" i="2" s="1"/>
  <c r="T552" i="2"/>
  <c r="U552" i="2" s="1"/>
  <c r="T553" i="2"/>
  <c r="U553" i="2" s="1"/>
  <c r="T554" i="2"/>
  <c r="U554" i="2" s="1"/>
  <c r="T555" i="2"/>
  <c r="U555" i="2" s="1"/>
  <c r="T556" i="2"/>
  <c r="U556" i="2" s="1"/>
  <c r="T557" i="2"/>
  <c r="U557" i="2" s="1"/>
  <c r="T558" i="2"/>
  <c r="U558" i="2" s="1"/>
  <c r="T559" i="2"/>
  <c r="U559" i="2" s="1"/>
  <c r="T560" i="2"/>
  <c r="U560" i="2" s="1"/>
  <c r="T561" i="2"/>
  <c r="U561" i="2" s="1"/>
  <c r="T562" i="2"/>
  <c r="U562" i="2" s="1"/>
  <c r="T563" i="2"/>
  <c r="U563" i="2" s="1"/>
  <c r="T564" i="2"/>
  <c r="U564" i="2" s="1"/>
  <c r="T565" i="2"/>
  <c r="U565" i="2" s="1"/>
  <c r="T566" i="2"/>
  <c r="U566" i="2" s="1"/>
  <c r="T567" i="2"/>
  <c r="U567" i="2" s="1"/>
  <c r="T568" i="2"/>
  <c r="U568" i="2" s="1"/>
  <c r="T569" i="2"/>
  <c r="U569" i="2" s="1"/>
  <c r="T570" i="2"/>
  <c r="U570" i="2" s="1"/>
  <c r="T571" i="2"/>
  <c r="U571" i="2" s="1"/>
  <c r="T572" i="2"/>
  <c r="U572" i="2" s="1"/>
  <c r="T573" i="2"/>
  <c r="U573" i="2" s="1"/>
  <c r="T574" i="2"/>
  <c r="U574" i="2" s="1"/>
  <c r="T575" i="2"/>
  <c r="U575" i="2" s="1"/>
  <c r="T576" i="2"/>
  <c r="U576" i="2" s="1"/>
  <c r="T577" i="2"/>
  <c r="U577" i="2" s="1"/>
  <c r="T578" i="2"/>
  <c r="U578" i="2" s="1"/>
  <c r="T579" i="2"/>
  <c r="U579" i="2" s="1"/>
  <c r="T580" i="2"/>
  <c r="U580" i="2" s="1"/>
  <c r="T581" i="2"/>
  <c r="U581" i="2" s="1"/>
  <c r="T582" i="2"/>
  <c r="U582" i="2" s="1"/>
  <c r="T583" i="2"/>
  <c r="U583" i="2" s="1"/>
  <c r="T584" i="2"/>
  <c r="U584" i="2" s="1"/>
  <c r="T585" i="2"/>
  <c r="U585" i="2" s="1"/>
  <c r="T586" i="2"/>
  <c r="U586" i="2" s="1"/>
  <c r="T587" i="2"/>
  <c r="U587" i="2" s="1"/>
  <c r="T588" i="2"/>
  <c r="U588" i="2" s="1"/>
  <c r="T589" i="2"/>
  <c r="U589" i="2" s="1"/>
  <c r="T590" i="2"/>
  <c r="U590" i="2" s="1"/>
  <c r="T591" i="2"/>
  <c r="U591" i="2" s="1"/>
  <c r="T592" i="2"/>
  <c r="U592" i="2" s="1"/>
  <c r="T593" i="2"/>
  <c r="U593" i="2" s="1"/>
  <c r="T594" i="2"/>
  <c r="U594" i="2" s="1"/>
  <c r="T595" i="2"/>
  <c r="U595" i="2" s="1"/>
  <c r="T596" i="2"/>
  <c r="U596" i="2" s="1"/>
  <c r="T597" i="2"/>
  <c r="U597" i="2" s="1"/>
  <c r="T598" i="2"/>
  <c r="U598" i="2" s="1"/>
  <c r="T599" i="2"/>
  <c r="U599" i="2" s="1"/>
  <c r="T600" i="2"/>
  <c r="U600" i="2" s="1"/>
  <c r="T601" i="2"/>
  <c r="U601" i="2" s="1"/>
  <c r="T602" i="2"/>
  <c r="U602" i="2" s="1"/>
  <c r="T603" i="2"/>
  <c r="U603" i="2" s="1"/>
  <c r="T604" i="2"/>
  <c r="U604" i="2" s="1"/>
  <c r="T605" i="2"/>
  <c r="U605" i="2" s="1"/>
  <c r="T606" i="2"/>
  <c r="U606" i="2" s="1"/>
  <c r="T607" i="2"/>
  <c r="U607" i="2" s="1"/>
  <c r="T608" i="2"/>
  <c r="U608" i="2" s="1"/>
  <c r="T609" i="2"/>
  <c r="U609" i="2" s="1"/>
  <c r="T610" i="2"/>
  <c r="U610" i="2" s="1"/>
  <c r="T611" i="2"/>
  <c r="U611" i="2" s="1"/>
  <c r="T612" i="2"/>
  <c r="U612" i="2" s="1"/>
  <c r="T613" i="2"/>
  <c r="U613" i="2" s="1"/>
  <c r="T614" i="2"/>
  <c r="U614" i="2" s="1"/>
  <c r="T615" i="2"/>
  <c r="U615" i="2" s="1"/>
  <c r="T616" i="2"/>
  <c r="U616" i="2" s="1"/>
  <c r="T617" i="2"/>
  <c r="U617" i="2" s="1"/>
  <c r="T618" i="2"/>
  <c r="U618" i="2" s="1"/>
  <c r="T619" i="2"/>
  <c r="U619" i="2" s="1"/>
  <c r="T620" i="2"/>
  <c r="T621" i="2"/>
  <c r="T622" i="2"/>
  <c r="U622" i="2" s="1"/>
  <c r="T623" i="2"/>
  <c r="U623" i="2" s="1"/>
  <c r="T624" i="2"/>
  <c r="U624" i="2" s="1"/>
  <c r="T625" i="2"/>
  <c r="U625" i="2" s="1"/>
  <c r="T626" i="2"/>
  <c r="U626" i="2" s="1"/>
  <c r="T627" i="2"/>
  <c r="U627" i="2" s="1"/>
  <c r="T628" i="2"/>
  <c r="U628" i="2" s="1"/>
  <c r="T629" i="2"/>
  <c r="U629" i="2" s="1"/>
  <c r="T630" i="2"/>
  <c r="U630" i="2" s="1"/>
  <c r="T631" i="2"/>
  <c r="U631" i="2" s="1"/>
  <c r="T632" i="2"/>
  <c r="U632" i="2" s="1"/>
  <c r="T633" i="2"/>
  <c r="U633" i="2" s="1"/>
  <c r="T634" i="2"/>
  <c r="U634" i="2" s="1"/>
  <c r="T635" i="2"/>
  <c r="U635" i="2" s="1"/>
  <c r="T636" i="2"/>
  <c r="U636" i="2" s="1"/>
  <c r="T637" i="2"/>
  <c r="U637" i="2" s="1"/>
  <c r="T638" i="2"/>
  <c r="U638" i="2" s="1"/>
  <c r="T639" i="2"/>
  <c r="U639" i="2" s="1"/>
  <c r="T640" i="2"/>
  <c r="U640" i="2" s="1"/>
  <c r="T641" i="2"/>
  <c r="U641" i="2" s="1"/>
  <c r="T642" i="2"/>
  <c r="U642" i="2" s="1"/>
  <c r="T643" i="2"/>
  <c r="U643" i="2" s="1"/>
  <c r="T644" i="2"/>
  <c r="U644" i="2" s="1"/>
  <c r="T645" i="2"/>
  <c r="U645" i="2" s="1"/>
  <c r="T646" i="2"/>
  <c r="U646" i="2" s="1"/>
  <c r="T647" i="2"/>
  <c r="U647" i="2" s="1"/>
  <c r="T648" i="2"/>
  <c r="U648" i="2" s="1"/>
  <c r="T649" i="2"/>
  <c r="U649" i="2" s="1"/>
  <c r="T650" i="2"/>
  <c r="U650" i="2" s="1"/>
  <c r="T651" i="2"/>
  <c r="U651" i="2" s="1"/>
  <c r="T652" i="2"/>
  <c r="U652" i="2" s="1"/>
  <c r="T653" i="2"/>
  <c r="U653" i="2" s="1"/>
  <c r="T654" i="2"/>
  <c r="U654" i="2" s="1"/>
  <c r="T655" i="2"/>
  <c r="U655" i="2" s="1"/>
  <c r="T656" i="2"/>
  <c r="U656" i="2" s="1"/>
  <c r="T657" i="2"/>
  <c r="U657" i="2" s="1"/>
  <c r="T658" i="2"/>
  <c r="U658" i="2" s="1"/>
  <c r="T659" i="2"/>
  <c r="U659" i="2" s="1"/>
  <c r="T660" i="2"/>
  <c r="U660" i="2" s="1"/>
  <c r="T661" i="2"/>
  <c r="U661" i="2" s="1"/>
  <c r="T662" i="2"/>
  <c r="U662" i="2" s="1"/>
  <c r="T663" i="2"/>
  <c r="U663" i="2" s="1"/>
  <c r="T664" i="2"/>
  <c r="U664" i="2" s="1"/>
  <c r="T665" i="2"/>
  <c r="U665" i="2" s="1"/>
  <c r="T666" i="2"/>
  <c r="U666" i="2" s="1"/>
  <c r="T667" i="2"/>
  <c r="U667" i="2" s="1"/>
  <c r="T668" i="2"/>
  <c r="U668" i="2" s="1"/>
  <c r="T669" i="2"/>
  <c r="U669" i="2" s="1"/>
  <c r="T670" i="2"/>
  <c r="U670" i="2" s="1"/>
  <c r="T671" i="2"/>
  <c r="U671" i="2" s="1"/>
  <c r="T672" i="2"/>
  <c r="U672" i="2" s="1"/>
  <c r="T673" i="2"/>
  <c r="U673" i="2" s="1"/>
  <c r="T674" i="2"/>
  <c r="U674" i="2" s="1"/>
  <c r="T675" i="2"/>
  <c r="U675" i="2" s="1"/>
  <c r="T676" i="2"/>
  <c r="U676" i="2" s="1"/>
  <c r="T677" i="2"/>
  <c r="U677" i="2" s="1"/>
  <c r="T678" i="2"/>
  <c r="U678" i="2" s="1"/>
  <c r="T679" i="2"/>
  <c r="U679" i="2" s="1"/>
  <c r="T680" i="2"/>
  <c r="U680" i="2" s="1"/>
  <c r="T681" i="2"/>
  <c r="U681" i="2" s="1"/>
  <c r="T682" i="2"/>
  <c r="U682" i="2" s="1"/>
  <c r="T683" i="2"/>
  <c r="U683" i="2" s="1"/>
  <c r="T684" i="2"/>
  <c r="U684" i="2" s="1"/>
  <c r="T685" i="2"/>
  <c r="U685" i="2" s="1"/>
  <c r="T686" i="2"/>
  <c r="U686" i="2" s="1"/>
  <c r="T687" i="2"/>
  <c r="U687" i="2" s="1"/>
  <c r="T688" i="2"/>
  <c r="U688" i="2" s="1"/>
  <c r="T689" i="2"/>
  <c r="U689" i="2" s="1"/>
  <c r="T690" i="2"/>
  <c r="U690" i="2" s="1"/>
  <c r="T691" i="2"/>
  <c r="U691" i="2" s="1"/>
  <c r="T692" i="2"/>
  <c r="U692" i="2" s="1"/>
  <c r="T693" i="2"/>
  <c r="U693" i="2" s="1"/>
  <c r="T694" i="2"/>
  <c r="U694" i="2" s="1"/>
  <c r="T695" i="2"/>
  <c r="U695" i="2" s="1"/>
  <c r="T696" i="2"/>
  <c r="U696" i="2" s="1"/>
  <c r="T697" i="2"/>
  <c r="U697" i="2" s="1"/>
  <c r="T698" i="2"/>
  <c r="U698" i="2" s="1"/>
  <c r="T699" i="2"/>
  <c r="U699" i="2" s="1"/>
  <c r="T700" i="2"/>
  <c r="U700" i="2" s="1"/>
  <c r="T701" i="2"/>
  <c r="U701" i="2" s="1"/>
  <c r="T702" i="2"/>
  <c r="U702" i="2" s="1"/>
  <c r="T703" i="2"/>
  <c r="U703" i="2" s="1"/>
  <c r="T704" i="2"/>
  <c r="U704" i="2" s="1"/>
  <c r="T705" i="2"/>
  <c r="U705" i="2" s="1"/>
  <c r="T706" i="2"/>
  <c r="U706" i="2" s="1"/>
  <c r="T707" i="2"/>
  <c r="U707" i="2" s="1"/>
  <c r="T708" i="2"/>
  <c r="U708" i="2" s="1"/>
  <c r="T709" i="2"/>
  <c r="U709" i="2" s="1"/>
  <c r="T710" i="2"/>
  <c r="U710" i="2" s="1"/>
  <c r="T711" i="2"/>
  <c r="U711" i="2" s="1"/>
  <c r="T712" i="2"/>
  <c r="U712" i="2" s="1"/>
  <c r="T713" i="2"/>
  <c r="U713" i="2" s="1"/>
  <c r="T714" i="2"/>
  <c r="U714" i="2" s="1"/>
  <c r="T715" i="2"/>
  <c r="U715" i="2" s="1"/>
  <c r="T716" i="2"/>
  <c r="U716" i="2" s="1"/>
  <c r="T717" i="2"/>
  <c r="U717" i="2" s="1"/>
  <c r="T718" i="2"/>
  <c r="U718" i="2" s="1"/>
  <c r="T719" i="2"/>
  <c r="U719" i="2" s="1"/>
  <c r="T720" i="2"/>
  <c r="U720" i="2" s="1"/>
  <c r="T721" i="2"/>
  <c r="U721" i="2" s="1"/>
  <c r="T722" i="2"/>
  <c r="U722" i="2" s="1"/>
  <c r="T723" i="2"/>
  <c r="U723" i="2" s="1"/>
  <c r="T724" i="2"/>
  <c r="U724" i="2" s="1"/>
  <c r="T725" i="2"/>
  <c r="U725" i="2" s="1"/>
  <c r="T726" i="2"/>
  <c r="U726" i="2" s="1"/>
  <c r="T727" i="2"/>
  <c r="U727" i="2" s="1"/>
  <c r="T728" i="2"/>
  <c r="U728" i="2" s="1"/>
  <c r="T729" i="2"/>
  <c r="U729" i="2" s="1"/>
  <c r="T730" i="2"/>
  <c r="U730" i="2" s="1"/>
  <c r="T731" i="2"/>
  <c r="U731" i="2" s="1"/>
  <c r="T732" i="2"/>
  <c r="U732" i="2" s="1"/>
  <c r="T733" i="2"/>
  <c r="U733" i="2" s="1"/>
  <c r="T734" i="2"/>
  <c r="U734" i="2" s="1"/>
  <c r="T735" i="2"/>
  <c r="U735" i="2" s="1"/>
  <c r="T736" i="2"/>
  <c r="U736" i="2" s="1"/>
  <c r="T737" i="2"/>
  <c r="U737" i="2" s="1"/>
  <c r="T738" i="2"/>
  <c r="U738" i="2" s="1"/>
  <c r="T739" i="2"/>
  <c r="U739" i="2" s="1"/>
  <c r="T740" i="2"/>
  <c r="U740" i="2" s="1"/>
  <c r="T741" i="2"/>
  <c r="U741" i="2" s="1"/>
  <c r="T742" i="2"/>
  <c r="U742" i="2" s="1"/>
  <c r="T743" i="2"/>
  <c r="U743" i="2" s="1"/>
  <c r="T744" i="2"/>
  <c r="U744" i="2" s="1"/>
  <c r="T745" i="2"/>
  <c r="U745" i="2" s="1"/>
  <c r="T746" i="2"/>
  <c r="U746" i="2" s="1"/>
  <c r="T747" i="2"/>
  <c r="U747" i="2" s="1"/>
  <c r="T748" i="2"/>
  <c r="U748" i="2" s="1"/>
  <c r="T749" i="2"/>
  <c r="U749" i="2" s="1"/>
  <c r="T750" i="2"/>
  <c r="U750" i="2" s="1"/>
  <c r="T751" i="2"/>
  <c r="U751" i="2" s="1"/>
  <c r="T752" i="2"/>
  <c r="U752" i="2" s="1"/>
  <c r="T753" i="2"/>
  <c r="U753" i="2" s="1"/>
  <c r="T754" i="2"/>
  <c r="U754" i="2" s="1"/>
  <c r="T755" i="2"/>
  <c r="U755" i="2" s="1"/>
  <c r="T756" i="2"/>
  <c r="U756" i="2" s="1"/>
  <c r="T757" i="2"/>
  <c r="U757" i="2" s="1"/>
  <c r="T758" i="2"/>
  <c r="U758" i="2" s="1"/>
  <c r="T759" i="2"/>
  <c r="U759" i="2" s="1"/>
  <c r="T760" i="2"/>
  <c r="U760" i="2" s="1"/>
  <c r="T761" i="2"/>
  <c r="U761" i="2" s="1"/>
  <c r="T762" i="2"/>
  <c r="U762" i="2" s="1"/>
  <c r="T763" i="2"/>
  <c r="U763" i="2" s="1"/>
  <c r="T764" i="2"/>
  <c r="U764" i="2" s="1"/>
  <c r="T765" i="2"/>
  <c r="U765" i="2" s="1"/>
  <c r="T766" i="2"/>
  <c r="U766" i="2" s="1"/>
  <c r="T767" i="2"/>
  <c r="U767" i="2" s="1"/>
  <c r="T768" i="2"/>
  <c r="U768" i="2" s="1"/>
  <c r="T769" i="2"/>
  <c r="U769" i="2" s="1"/>
  <c r="T770" i="2"/>
  <c r="U770" i="2" s="1"/>
  <c r="T771" i="2"/>
  <c r="U771" i="2" s="1"/>
  <c r="T772" i="2"/>
  <c r="U772" i="2" s="1"/>
  <c r="T773" i="2"/>
  <c r="U773" i="2" s="1"/>
  <c r="T774" i="2"/>
  <c r="U774" i="2" s="1"/>
  <c r="T775" i="2"/>
  <c r="U775" i="2" s="1"/>
  <c r="T776" i="2"/>
  <c r="U776" i="2" s="1"/>
  <c r="T777" i="2"/>
  <c r="U777" i="2" s="1"/>
  <c r="T778" i="2"/>
  <c r="U778" i="2" s="1"/>
  <c r="R12" i="2"/>
  <c r="S12" i="2" s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2" i="2"/>
  <c r="R3" i="2"/>
  <c r="S3" i="2" s="1"/>
  <c r="R4" i="2"/>
  <c r="S4" i="2" s="1"/>
  <c r="R5" i="2"/>
  <c r="S5" i="2" s="1"/>
  <c r="R6" i="2"/>
  <c r="S6" i="2" s="1"/>
  <c r="R7" i="2"/>
  <c r="S7" i="2" s="1"/>
  <c r="R8" i="2"/>
  <c r="S8" i="2" s="1"/>
  <c r="R9" i="2"/>
  <c r="S9" i="2" s="1"/>
  <c r="R10" i="2"/>
  <c r="S10" i="2" s="1"/>
  <c r="R11" i="2"/>
  <c r="S11" i="2" s="1"/>
  <c r="R13" i="2"/>
  <c r="S13" i="2" s="1"/>
  <c r="R14" i="2"/>
  <c r="S14" i="2" s="1"/>
  <c r="R15" i="2"/>
  <c r="S15" i="2" s="1"/>
  <c r="R16" i="2"/>
  <c r="S16" i="2" s="1"/>
  <c r="R17" i="2"/>
  <c r="S17" i="2" s="1"/>
  <c r="R18" i="2"/>
  <c r="S18" i="2" s="1"/>
  <c r="R19" i="2"/>
  <c r="S19" i="2" s="1"/>
  <c r="R20" i="2"/>
  <c r="S20" i="2" s="1"/>
  <c r="R21" i="2"/>
  <c r="S21" i="2" s="1"/>
  <c r="R22" i="2"/>
  <c r="S22" i="2" s="1"/>
  <c r="R23" i="2"/>
  <c r="S23" i="2" s="1"/>
  <c r="R24" i="2"/>
  <c r="S24" i="2" s="1"/>
  <c r="R25" i="2"/>
  <c r="S25" i="2" s="1"/>
  <c r="R26" i="2"/>
  <c r="S26" i="2" s="1"/>
  <c r="R27" i="2"/>
  <c r="S27" i="2" s="1"/>
  <c r="R28" i="2"/>
  <c r="S28" i="2" s="1"/>
  <c r="R29" i="2"/>
  <c r="S29" i="2" s="1"/>
  <c r="R30" i="2"/>
  <c r="S30" i="2" s="1"/>
  <c r="R31" i="2"/>
  <c r="S31" i="2" s="1"/>
  <c r="R32" i="2"/>
  <c r="S32" i="2" s="1"/>
  <c r="R33" i="2"/>
  <c r="S33" i="2" s="1"/>
  <c r="R34" i="2"/>
  <c r="S34" i="2" s="1"/>
  <c r="R35" i="2"/>
  <c r="S35" i="2" s="1"/>
  <c r="R36" i="2"/>
  <c r="S36" i="2" s="1"/>
  <c r="R37" i="2"/>
  <c r="S37" i="2" s="1"/>
  <c r="R38" i="2"/>
  <c r="S38" i="2" s="1"/>
  <c r="R39" i="2"/>
  <c r="S39" i="2" s="1"/>
  <c r="R40" i="2"/>
  <c r="S40" i="2" s="1"/>
  <c r="R41" i="2"/>
  <c r="S41" i="2" s="1"/>
  <c r="R42" i="2"/>
  <c r="S42" i="2" s="1"/>
  <c r="R43" i="2"/>
  <c r="S43" i="2" s="1"/>
  <c r="R44" i="2"/>
  <c r="S44" i="2" s="1"/>
  <c r="R45" i="2"/>
  <c r="S45" i="2" s="1"/>
  <c r="R46" i="2"/>
  <c r="S46" i="2" s="1"/>
  <c r="R47" i="2"/>
  <c r="S47" i="2" s="1"/>
  <c r="R48" i="2"/>
  <c r="S48" i="2" s="1"/>
  <c r="R49" i="2"/>
  <c r="S49" i="2" s="1"/>
  <c r="R50" i="2"/>
  <c r="S50" i="2" s="1"/>
  <c r="R51" i="2"/>
  <c r="S51" i="2" s="1"/>
  <c r="R52" i="2"/>
  <c r="S52" i="2" s="1"/>
  <c r="R53" i="2"/>
  <c r="S53" i="2" s="1"/>
  <c r="R54" i="2"/>
  <c r="S54" i="2" s="1"/>
  <c r="R55" i="2"/>
  <c r="S55" i="2" s="1"/>
  <c r="R56" i="2"/>
  <c r="S56" i="2" s="1"/>
  <c r="R57" i="2"/>
  <c r="S57" i="2" s="1"/>
  <c r="R58" i="2"/>
  <c r="S58" i="2" s="1"/>
  <c r="R59" i="2"/>
  <c r="S59" i="2" s="1"/>
  <c r="R60" i="2"/>
  <c r="S60" i="2" s="1"/>
  <c r="R61" i="2"/>
  <c r="S61" i="2" s="1"/>
  <c r="R62" i="2"/>
  <c r="S62" i="2" s="1"/>
  <c r="R63" i="2"/>
  <c r="S63" i="2" s="1"/>
  <c r="R64" i="2"/>
  <c r="S64" i="2" s="1"/>
  <c r="R65" i="2"/>
  <c r="S65" i="2" s="1"/>
  <c r="R66" i="2"/>
  <c r="S66" i="2" s="1"/>
  <c r="R67" i="2"/>
  <c r="S67" i="2" s="1"/>
  <c r="R68" i="2"/>
  <c r="S68" i="2" s="1"/>
  <c r="R69" i="2"/>
  <c r="S69" i="2" s="1"/>
  <c r="R70" i="2"/>
  <c r="S70" i="2" s="1"/>
  <c r="R71" i="2"/>
  <c r="S71" i="2" s="1"/>
  <c r="R72" i="2"/>
  <c r="S72" i="2" s="1"/>
  <c r="R73" i="2"/>
  <c r="S73" i="2" s="1"/>
  <c r="R74" i="2"/>
  <c r="S74" i="2" s="1"/>
  <c r="R75" i="2"/>
  <c r="S75" i="2" s="1"/>
  <c r="R76" i="2"/>
  <c r="S76" i="2" s="1"/>
  <c r="R77" i="2"/>
  <c r="S77" i="2" s="1"/>
  <c r="R78" i="2"/>
  <c r="S78" i="2" s="1"/>
  <c r="R79" i="2"/>
  <c r="S79" i="2" s="1"/>
  <c r="R80" i="2"/>
  <c r="S80" i="2" s="1"/>
  <c r="R81" i="2"/>
  <c r="S81" i="2" s="1"/>
  <c r="R82" i="2"/>
  <c r="S82" i="2" s="1"/>
  <c r="R83" i="2"/>
  <c r="S83" i="2" s="1"/>
  <c r="R84" i="2"/>
  <c r="S84" i="2" s="1"/>
  <c r="R85" i="2"/>
  <c r="S85" i="2" s="1"/>
  <c r="R86" i="2"/>
  <c r="S86" i="2" s="1"/>
  <c r="R87" i="2"/>
  <c r="S87" i="2" s="1"/>
  <c r="R88" i="2"/>
  <c r="S88" i="2" s="1"/>
  <c r="R89" i="2"/>
  <c r="S89" i="2" s="1"/>
  <c r="R90" i="2"/>
  <c r="S90" i="2" s="1"/>
  <c r="R91" i="2"/>
  <c r="S91" i="2" s="1"/>
  <c r="R92" i="2"/>
  <c r="S92" i="2" s="1"/>
  <c r="R93" i="2"/>
  <c r="S93" i="2" s="1"/>
  <c r="R94" i="2"/>
  <c r="S94" i="2" s="1"/>
  <c r="R95" i="2"/>
  <c r="S95" i="2" s="1"/>
  <c r="R96" i="2"/>
  <c r="S96" i="2" s="1"/>
  <c r="R97" i="2"/>
  <c r="S97" i="2" s="1"/>
  <c r="R98" i="2"/>
  <c r="S98" i="2" s="1"/>
  <c r="R99" i="2"/>
  <c r="S99" i="2" s="1"/>
  <c r="R100" i="2"/>
  <c r="S100" i="2" s="1"/>
  <c r="R101" i="2"/>
  <c r="S101" i="2" s="1"/>
  <c r="R102" i="2"/>
  <c r="S102" i="2" s="1"/>
  <c r="R103" i="2"/>
  <c r="S103" i="2" s="1"/>
  <c r="R104" i="2"/>
  <c r="S104" i="2" s="1"/>
  <c r="R105" i="2"/>
  <c r="S105" i="2" s="1"/>
  <c r="R106" i="2"/>
  <c r="S106" i="2" s="1"/>
  <c r="R107" i="2"/>
  <c r="S107" i="2" s="1"/>
  <c r="R108" i="2"/>
  <c r="S108" i="2" s="1"/>
  <c r="R109" i="2"/>
  <c r="S109" i="2" s="1"/>
  <c r="R110" i="2"/>
  <c r="S110" i="2" s="1"/>
  <c r="R111" i="2"/>
  <c r="S111" i="2" s="1"/>
  <c r="R112" i="2"/>
  <c r="S112" i="2" s="1"/>
  <c r="R113" i="2"/>
  <c r="S113" i="2" s="1"/>
  <c r="R114" i="2"/>
  <c r="S114" i="2" s="1"/>
  <c r="R115" i="2"/>
  <c r="S115" i="2" s="1"/>
  <c r="R116" i="2"/>
  <c r="S116" i="2" s="1"/>
  <c r="R117" i="2"/>
  <c r="S117" i="2" s="1"/>
  <c r="R118" i="2"/>
  <c r="S118" i="2" s="1"/>
  <c r="R119" i="2"/>
  <c r="S119" i="2" s="1"/>
  <c r="R120" i="2"/>
  <c r="S120" i="2" s="1"/>
  <c r="R121" i="2"/>
  <c r="S121" i="2" s="1"/>
  <c r="R122" i="2"/>
  <c r="S122" i="2" s="1"/>
  <c r="R123" i="2"/>
  <c r="S123" i="2" s="1"/>
  <c r="R124" i="2"/>
  <c r="S124" i="2" s="1"/>
  <c r="R125" i="2"/>
  <c r="S125" i="2" s="1"/>
  <c r="R126" i="2"/>
  <c r="S126" i="2" s="1"/>
  <c r="R127" i="2"/>
  <c r="S127" i="2" s="1"/>
  <c r="R128" i="2"/>
  <c r="S128" i="2" s="1"/>
  <c r="R129" i="2"/>
  <c r="S129" i="2" s="1"/>
  <c r="R130" i="2"/>
  <c r="S130" i="2" s="1"/>
  <c r="R131" i="2"/>
  <c r="S131" i="2" s="1"/>
  <c r="R132" i="2"/>
  <c r="S132" i="2" s="1"/>
  <c r="R133" i="2"/>
  <c r="S133" i="2" s="1"/>
  <c r="R134" i="2"/>
  <c r="S134" i="2" s="1"/>
  <c r="R135" i="2"/>
  <c r="S135" i="2" s="1"/>
  <c r="R136" i="2"/>
  <c r="S136" i="2" s="1"/>
  <c r="R137" i="2"/>
  <c r="S137" i="2" s="1"/>
  <c r="R138" i="2"/>
  <c r="S138" i="2" s="1"/>
  <c r="R139" i="2"/>
  <c r="S139" i="2" s="1"/>
  <c r="R140" i="2"/>
  <c r="S140" i="2" s="1"/>
  <c r="R141" i="2"/>
  <c r="S141" i="2" s="1"/>
  <c r="R142" i="2"/>
  <c r="S142" i="2" s="1"/>
  <c r="R143" i="2"/>
  <c r="S143" i="2" s="1"/>
  <c r="R144" i="2"/>
  <c r="S144" i="2" s="1"/>
  <c r="R145" i="2"/>
  <c r="S145" i="2" s="1"/>
  <c r="R146" i="2"/>
  <c r="S146" i="2" s="1"/>
  <c r="R147" i="2"/>
  <c r="S147" i="2" s="1"/>
  <c r="R148" i="2"/>
  <c r="S148" i="2" s="1"/>
  <c r="R149" i="2"/>
  <c r="S149" i="2" s="1"/>
  <c r="R150" i="2"/>
  <c r="S150" i="2" s="1"/>
  <c r="R151" i="2"/>
  <c r="S151" i="2" s="1"/>
  <c r="R152" i="2"/>
  <c r="S152" i="2" s="1"/>
  <c r="R153" i="2"/>
  <c r="S153" i="2" s="1"/>
  <c r="R154" i="2"/>
  <c r="S154" i="2" s="1"/>
  <c r="R155" i="2"/>
  <c r="S155" i="2" s="1"/>
  <c r="R156" i="2"/>
  <c r="S156" i="2" s="1"/>
  <c r="R157" i="2"/>
  <c r="S157" i="2" s="1"/>
  <c r="R158" i="2"/>
  <c r="S158" i="2" s="1"/>
  <c r="R159" i="2"/>
  <c r="S159" i="2" s="1"/>
  <c r="R160" i="2"/>
  <c r="S160" i="2" s="1"/>
  <c r="R161" i="2"/>
  <c r="S161" i="2" s="1"/>
  <c r="R162" i="2"/>
  <c r="S162" i="2" s="1"/>
  <c r="R163" i="2"/>
  <c r="S163" i="2" s="1"/>
  <c r="R164" i="2"/>
  <c r="S164" i="2" s="1"/>
  <c r="R165" i="2"/>
  <c r="S165" i="2" s="1"/>
  <c r="R166" i="2"/>
  <c r="S166" i="2" s="1"/>
  <c r="R167" i="2"/>
  <c r="S167" i="2" s="1"/>
  <c r="R168" i="2"/>
  <c r="S168" i="2" s="1"/>
  <c r="R169" i="2"/>
  <c r="S169" i="2" s="1"/>
  <c r="R170" i="2"/>
  <c r="S170" i="2" s="1"/>
  <c r="R171" i="2"/>
  <c r="S171" i="2" s="1"/>
  <c r="R172" i="2"/>
  <c r="S172" i="2" s="1"/>
  <c r="R173" i="2"/>
  <c r="S173" i="2" s="1"/>
  <c r="R174" i="2"/>
  <c r="S174" i="2" s="1"/>
  <c r="R175" i="2"/>
  <c r="S175" i="2" s="1"/>
  <c r="R176" i="2"/>
  <c r="S176" i="2" s="1"/>
  <c r="R177" i="2"/>
  <c r="S177" i="2" s="1"/>
  <c r="R178" i="2"/>
  <c r="S178" i="2" s="1"/>
  <c r="R179" i="2"/>
  <c r="S179" i="2" s="1"/>
  <c r="R180" i="2"/>
  <c r="S180" i="2" s="1"/>
  <c r="R181" i="2"/>
  <c r="S181" i="2" s="1"/>
  <c r="R182" i="2"/>
  <c r="S182" i="2" s="1"/>
  <c r="R183" i="2"/>
  <c r="S183" i="2" s="1"/>
  <c r="R184" i="2"/>
  <c r="S184" i="2" s="1"/>
  <c r="R185" i="2"/>
  <c r="S185" i="2" s="1"/>
  <c r="R186" i="2"/>
  <c r="S186" i="2" s="1"/>
  <c r="R187" i="2"/>
  <c r="S187" i="2" s="1"/>
  <c r="R188" i="2"/>
  <c r="S188" i="2" s="1"/>
  <c r="R189" i="2"/>
  <c r="S189" i="2" s="1"/>
  <c r="R190" i="2"/>
  <c r="S190" i="2" s="1"/>
  <c r="R191" i="2"/>
  <c r="S191" i="2" s="1"/>
  <c r="R192" i="2"/>
  <c r="S192" i="2" s="1"/>
  <c r="R193" i="2"/>
  <c r="S193" i="2" s="1"/>
  <c r="R194" i="2"/>
  <c r="S194" i="2" s="1"/>
  <c r="R195" i="2"/>
  <c r="S195" i="2" s="1"/>
  <c r="R196" i="2"/>
  <c r="S196" i="2" s="1"/>
  <c r="R197" i="2"/>
  <c r="S197" i="2" s="1"/>
  <c r="R198" i="2"/>
  <c r="S198" i="2" s="1"/>
  <c r="R199" i="2"/>
  <c r="S199" i="2" s="1"/>
  <c r="R200" i="2"/>
  <c r="S200" i="2" s="1"/>
  <c r="R201" i="2"/>
  <c r="S201" i="2" s="1"/>
  <c r="R202" i="2"/>
  <c r="S202" i="2" s="1"/>
  <c r="R203" i="2"/>
  <c r="S203" i="2" s="1"/>
  <c r="R204" i="2"/>
  <c r="S204" i="2" s="1"/>
  <c r="R205" i="2"/>
  <c r="S205" i="2" s="1"/>
  <c r="R206" i="2"/>
  <c r="S206" i="2" s="1"/>
  <c r="R207" i="2"/>
  <c r="S207" i="2" s="1"/>
  <c r="R208" i="2"/>
  <c r="S208" i="2" s="1"/>
  <c r="R209" i="2"/>
  <c r="S209" i="2" s="1"/>
  <c r="R210" i="2"/>
  <c r="S210" i="2" s="1"/>
  <c r="R211" i="2"/>
  <c r="S211" i="2" s="1"/>
  <c r="R212" i="2"/>
  <c r="S212" i="2" s="1"/>
  <c r="R213" i="2"/>
  <c r="S213" i="2" s="1"/>
  <c r="R214" i="2"/>
  <c r="S214" i="2" s="1"/>
  <c r="R215" i="2"/>
  <c r="S215" i="2" s="1"/>
  <c r="R216" i="2"/>
  <c r="S216" i="2" s="1"/>
  <c r="R217" i="2"/>
  <c r="S217" i="2" s="1"/>
  <c r="R218" i="2"/>
  <c r="S218" i="2" s="1"/>
  <c r="R219" i="2"/>
  <c r="S219" i="2" s="1"/>
  <c r="R220" i="2"/>
  <c r="S220" i="2" s="1"/>
  <c r="R221" i="2"/>
  <c r="S221" i="2" s="1"/>
  <c r="R222" i="2"/>
  <c r="S222" i="2" s="1"/>
  <c r="R223" i="2"/>
  <c r="S223" i="2" s="1"/>
  <c r="R224" i="2"/>
  <c r="S224" i="2" s="1"/>
  <c r="R225" i="2"/>
  <c r="S225" i="2" s="1"/>
  <c r="R226" i="2"/>
  <c r="S226" i="2" s="1"/>
  <c r="R227" i="2"/>
  <c r="S227" i="2" s="1"/>
  <c r="R228" i="2"/>
  <c r="S228" i="2" s="1"/>
  <c r="R229" i="2"/>
  <c r="S229" i="2" s="1"/>
  <c r="R230" i="2"/>
  <c r="S230" i="2" s="1"/>
  <c r="R231" i="2"/>
  <c r="S231" i="2" s="1"/>
  <c r="R232" i="2"/>
  <c r="S232" i="2" s="1"/>
  <c r="R233" i="2"/>
  <c r="S233" i="2" s="1"/>
  <c r="R234" i="2"/>
  <c r="S234" i="2" s="1"/>
  <c r="R235" i="2"/>
  <c r="S235" i="2" s="1"/>
  <c r="R236" i="2"/>
  <c r="S236" i="2" s="1"/>
  <c r="R237" i="2"/>
  <c r="S237" i="2" s="1"/>
  <c r="R238" i="2"/>
  <c r="S238" i="2" s="1"/>
  <c r="R239" i="2"/>
  <c r="S239" i="2" s="1"/>
  <c r="R240" i="2"/>
  <c r="S240" i="2" s="1"/>
  <c r="R241" i="2"/>
  <c r="S241" i="2" s="1"/>
  <c r="R242" i="2"/>
  <c r="S242" i="2" s="1"/>
  <c r="R243" i="2"/>
  <c r="S243" i="2" s="1"/>
  <c r="R244" i="2"/>
  <c r="S244" i="2" s="1"/>
  <c r="R245" i="2"/>
  <c r="S245" i="2" s="1"/>
  <c r="R246" i="2"/>
  <c r="S246" i="2" s="1"/>
  <c r="R247" i="2"/>
  <c r="S247" i="2" s="1"/>
  <c r="R248" i="2"/>
  <c r="S248" i="2" s="1"/>
  <c r="R249" i="2"/>
  <c r="S249" i="2" s="1"/>
  <c r="R250" i="2"/>
  <c r="S250" i="2" s="1"/>
  <c r="R251" i="2"/>
  <c r="S251" i="2" s="1"/>
  <c r="R252" i="2"/>
  <c r="S252" i="2" s="1"/>
  <c r="R253" i="2"/>
  <c r="S253" i="2" s="1"/>
  <c r="R254" i="2"/>
  <c r="S254" i="2" s="1"/>
  <c r="R255" i="2"/>
  <c r="S255" i="2" s="1"/>
  <c r="R256" i="2"/>
  <c r="S256" i="2" s="1"/>
  <c r="R257" i="2"/>
  <c r="S257" i="2" s="1"/>
  <c r="R258" i="2"/>
  <c r="S258" i="2" s="1"/>
  <c r="R259" i="2"/>
  <c r="S259" i="2" s="1"/>
  <c r="R260" i="2"/>
  <c r="S260" i="2" s="1"/>
  <c r="R261" i="2"/>
  <c r="S261" i="2" s="1"/>
  <c r="R262" i="2"/>
  <c r="S262" i="2" s="1"/>
  <c r="R263" i="2"/>
  <c r="S263" i="2" s="1"/>
  <c r="R264" i="2"/>
  <c r="S264" i="2" s="1"/>
  <c r="R265" i="2"/>
  <c r="S265" i="2" s="1"/>
  <c r="R266" i="2"/>
  <c r="S266" i="2" s="1"/>
  <c r="R267" i="2"/>
  <c r="S267" i="2" s="1"/>
  <c r="R268" i="2"/>
  <c r="S268" i="2" s="1"/>
  <c r="R269" i="2"/>
  <c r="S269" i="2" s="1"/>
  <c r="R270" i="2"/>
  <c r="S270" i="2" s="1"/>
  <c r="R271" i="2"/>
  <c r="S271" i="2" s="1"/>
  <c r="R272" i="2"/>
  <c r="S272" i="2" s="1"/>
  <c r="R273" i="2"/>
  <c r="S273" i="2" s="1"/>
  <c r="R274" i="2"/>
  <c r="S274" i="2" s="1"/>
  <c r="R275" i="2"/>
  <c r="S275" i="2" s="1"/>
  <c r="R276" i="2"/>
  <c r="S276" i="2" s="1"/>
  <c r="R277" i="2"/>
  <c r="S277" i="2" s="1"/>
  <c r="R278" i="2"/>
  <c r="S278" i="2" s="1"/>
  <c r="R279" i="2"/>
  <c r="S279" i="2" s="1"/>
  <c r="R280" i="2"/>
  <c r="S280" i="2" s="1"/>
  <c r="R281" i="2"/>
  <c r="S281" i="2" s="1"/>
  <c r="R282" i="2"/>
  <c r="S282" i="2" s="1"/>
  <c r="R283" i="2"/>
  <c r="S283" i="2" s="1"/>
  <c r="R284" i="2"/>
  <c r="S284" i="2" s="1"/>
  <c r="R285" i="2"/>
  <c r="S285" i="2" s="1"/>
  <c r="R286" i="2"/>
  <c r="S286" i="2" s="1"/>
  <c r="R287" i="2"/>
  <c r="S287" i="2" s="1"/>
  <c r="R288" i="2"/>
  <c r="S288" i="2" s="1"/>
  <c r="R289" i="2"/>
  <c r="S289" i="2" s="1"/>
  <c r="R290" i="2"/>
  <c r="S290" i="2" s="1"/>
  <c r="R291" i="2"/>
  <c r="S291" i="2" s="1"/>
  <c r="R292" i="2"/>
  <c r="S292" i="2" s="1"/>
  <c r="R293" i="2"/>
  <c r="S293" i="2" s="1"/>
  <c r="R294" i="2"/>
  <c r="S294" i="2" s="1"/>
  <c r="R295" i="2"/>
  <c r="S295" i="2" s="1"/>
  <c r="R296" i="2"/>
  <c r="S296" i="2" s="1"/>
  <c r="R297" i="2"/>
  <c r="S297" i="2" s="1"/>
  <c r="R298" i="2"/>
  <c r="S298" i="2" s="1"/>
  <c r="R299" i="2"/>
  <c r="S299" i="2" s="1"/>
  <c r="R300" i="2"/>
  <c r="S300" i="2" s="1"/>
  <c r="R301" i="2"/>
  <c r="S301" i="2" s="1"/>
  <c r="R302" i="2"/>
  <c r="S302" i="2" s="1"/>
  <c r="R303" i="2"/>
  <c r="S303" i="2" s="1"/>
  <c r="R304" i="2"/>
  <c r="S304" i="2" s="1"/>
  <c r="R305" i="2"/>
  <c r="S305" i="2" s="1"/>
  <c r="R306" i="2"/>
  <c r="S306" i="2" s="1"/>
  <c r="R307" i="2"/>
  <c r="S307" i="2" s="1"/>
  <c r="R308" i="2"/>
  <c r="S308" i="2" s="1"/>
  <c r="R309" i="2"/>
  <c r="S309" i="2" s="1"/>
  <c r="R310" i="2"/>
  <c r="S310" i="2" s="1"/>
  <c r="R311" i="2"/>
  <c r="S311" i="2" s="1"/>
  <c r="R312" i="2"/>
  <c r="S312" i="2" s="1"/>
  <c r="R313" i="2"/>
  <c r="S313" i="2" s="1"/>
  <c r="R314" i="2"/>
  <c r="S314" i="2" s="1"/>
  <c r="R315" i="2"/>
  <c r="S315" i="2" s="1"/>
  <c r="R316" i="2"/>
  <c r="S316" i="2" s="1"/>
  <c r="R317" i="2"/>
  <c r="S317" i="2" s="1"/>
  <c r="R318" i="2"/>
  <c r="S318" i="2" s="1"/>
  <c r="R319" i="2"/>
  <c r="S319" i="2" s="1"/>
  <c r="R320" i="2"/>
  <c r="S320" i="2" s="1"/>
  <c r="R321" i="2"/>
  <c r="S321" i="2" s="1"/>
  <c r="R322" i="2"/>
  <c r="S322" i="2" s="1"/>
  <c r="R323" i="2"/>
  <c r="S323" i="2" s="1"/>
  <c r="R324" i="2"/>
  <c r="S324" i="2" s="1"/>
  <c r="R325" i="2"/>
  <c r="S325" i="2" s="1"/>
  <c r="R326" i="2"/>
  <c r="S326" i="2" s="1"/>
  <c r="R327" i="2"/>
  <c r="S327" i="2" s="1"/>
  <c r="R328" i="2"/>
  <c r="S328" i="2" s="1"/>
  <c r="R329" i="2"/>
  <c r="S329" i="2" s="1"/>
  <c r="R330" i="2"/>
  <c r="S330" i="2" s="1"/>
  <c r="R331" i="2"/>
  <c r="S331" i="2" s="1"/>
  <c r="R332" i="2"/>
  <c r="S332" i="2" s="1"/>
  <c r="R333" i="2"/>
  <c r="S333" i="2" s="1"/>
  <c r="R334" i="2"/>
  <c r="S334" i="2" s="1"/>
  <c r="R335" i="2"/>
  <c r="S335" i="2" s="1"/>
  <c r="R336" i="2"/>
  <c r="S336" i="2" s="1"/>
  <c r="R337" i="2"/>
  <c r="S337" i="2" s="1"/>
  <c r="R338" i="2"/>
  <c r="S338" i="2" s="1"/>
  <c r="R339" i="2"/>
  <c r="S339" i="2" s="1"/>
  <c r="R340" i="2"/>
  <c r="S340" i="2" s="1"/>
  <c r="R341" i="2"/>
  <c r="S341" i="2" s="1"/>
  <c r="R342" i="2"/>
  <c r="S342" i="2" s="1"/>
  <c r="R343" i="2"/>
  <c r="S343" i="2" s="1"/>
  <c r="R344" i="2"/>
  <c r="S344" i="2" s="1"/>
  <c r="R345" i="2"/>
  <c r="S345" i="2" s="1"/>
  <c r="R346" i="2"/>
  <c r="S346" i="2" s="1"/>
  <c r="R347" i="2"/>
  <c r="S347" i="2" s="1"/>
  <c r="R348" i="2"/>
  <c r="S348" i="2" s="1"/>
  <c r="R349" i="2"/>
  <c r="S349" i="2" s="1"/>
  <c r="R350" i="2"/>
  <c r="S350" i="2" s="1"/>
  <c r="R351" i="2"/>
  <c r="S351" i="2" s="1"/>
  <c r="R352" i="2"/>
  <c r="S352" i="2" s="1"/>
  <c r="R353" i="2"/>
  <c r="S353" i="2" s="1"/>
  <c r="R354" i="2"/>
  <c r="S354" i="2" s="1"/>
  <c r="R355" i="2"/>
  <c r="S355" i="2" s="1"/>
  <c r="R356" i="2"/>
  <c r="S356" i="2" s="1"/>
  <c r="R357" i="2"/>
  <c r="S357" i="2" s="1"/>
  <c r="R358" i="2"/>
  <c r="S358" i="2" s="1"/>
  <c r="R359" i="2"/>
  <c r="S359" i="2" s="1"/>
  <c r="R360" i="2"/>
  <c r="S360" i="2" s="1"/>
  <c r="R361" i="2"/>
  <c r="S361" i="2" s="1"/>
  <c r="R362" i="2"/>
  <c r="S362" i="2" s="1"/>
  <c r="R363" i="2"/>
  <c r="S363" i="2" s="1"/>
  <c r="R364" i="2"/>
  <c r="S364" i="2" s="1"/>
  <c r="R365" i="2"/>
  <c r="S365" i="2" s="1"/>
  <c r="R366" i="2"/>
  <c r="S366" i="2" s="1"/>
  <c r="R367" i="2"/>
  <c r="S367" i="2" s="1"/>
  <c r="R368" i="2"/>
  <c r="S368" i="2" s="1"/>
  <c r="R369" i="2"/>
  <c r="S369" i="2" s="1"/>
  <c r="R370" i="2"/>
  <c r="S370" i="2" s="1"/>
  <c r="R371" i="2"/>
  <c r="S371" i="2" s="1"/>
  <c r="R372" i="2"/>
  <c r="S372" i="2" s="1"/>
  <c r="R373" i="2"/>
  <c r="S373" i="2" s="1"/>
  <c r="R374" i="2"/>
  <c r="S374" i="2" s="1"/>
  <c r="R375" i="2"/>
  <c r="S375" i="2" s="1"/>
  <c r="R376" i="2"/>
  <c r="S376" i="2" s="1"/>
  <c r="R377" i="2"/>
  <c r="S377" i="2" s="1"/>
  <c r="R378" i="2"/>
  <c r="S378" i="2" s="1"/>
  <c r="R379" i="2"/>
  <c r="S379" i="2" s="1"/>
  <c r="R380" i="2"/>
  <c r="S380" i="2" s="1"/>
  <c r="R381" i="2"/>
  <c r="S381" i="2" s="1"/>
  <c r="R382" i="2"/>
  <c r="S382" i="2" s="1"/>
  <c r="R383" i="2"/>
  <c r="S383" i="2" s="1"/>
  <c r="R384" i="2"/>
  <c r="S384" i="2" s="1"/>
  <c r="R385" i="2"/>
  <c r="S385" i="2" s="1"/>
  <c r="R386" i="2"/>
  <c r="S386" i="2" s="1"/>
  <c r="R387" i="2"/>
  <c r="S387" i="2" s="1"/>
  <c r="R388" i="2"/>
  <c r="S388" i="2" s="1"/>
  <c r="R389" i="2"/>
  <c r="S389" i="2" s="1"/>
  <c r="R390" i="2"/>
  <c r="S390" i="2" s="1"/>
  <c r="R391" i="2"/>
  <c r="S391" i="2" s="1"/>
  <c r="R392" i="2"/>
  <c r="S392" i="2" s="1"/>
  <c r="R393" i="2"/>
  <c r="S393" i="2" s="1"/>
  <c r="R394" i="2"/>
  <c r="S394" i="2" s="1"/>
  <c r="R395" i="2"/>
  <c r="S395" i="2" s="1"/>
  <c r="R396" i="2"/>
  <c r="S396" i="2" s="1"/>
  <c r="R397" i="2"/>
  <c r="S397" i="2" s="1"/>
  <c r="R398" i="2"/>
  <c r="S398" i="2" s="1"/>
  <c r="R399" i="2"/>
  <c r="S399" i="2" s="1"/>
  <c r="R400" i="2"/>
  <c r="S400" i="2" s="1"/>
  <c r="R401" i="2"/>
  <c r="S401" i="2" s="1"/>
  <c r="R402" i="2"/>
  <c r="S402" i="2" s="1"/>
  <c r="R403" i="2"/>
  <c r="S403" i="2" s="1"/>
  <c r="R404" i="2"/>
  <c r="S404" i="2" s="1"/>
  <c r="R405" i="2"/>
  <c r="S405" i="2" s="1"/>
  <c r="R406" i="2"/>
  <c r="S406" i="2" s="1"/>
  <c r="R407" i="2"/>
  <c r="S407" i="2" s="1"/>
  <c r="R408" i="2"/>
  <c r="S408" i="2" s="1"/>
  <c r="R409" i="2"/>
  <c r="S409" i="2" s="1"/>
  <c r="R410" i="2"/>
  <c r="S410" i="2" s="1"/>
  <c r="R411" i="2"/>
  <c r="S411" i="2" s="1"/>
  <c r="R412" i="2"/>
  <c r="S412" i="2" s="1"/>
  <c r="R413" i="2"/>
  <c r="S413" i="2" s="1"/>
  <c r="R414" i="2"/>
  <c r="S414" i="2" s="1"/>
  <c r="R415" i="2"/>
  <c r="S415" i="2" s="1"/>
  <c r="R416" i="2"/>
  <c r="S416" i="2" s="1"/>
  <c r="R417" i="2"/>
  <c r="S417" i="2" s="1"/>
  <c r="R418" i="2"/>
  <c r="S418" i="2" s="1"/>
  <c r="R419" i="2"/>
  <c r="S419" i="2" s="1"/>
  <c r="R420" i="2"/>
  <c r="S420" i="2" s="1"/>
  <c r="R421" i="2"/>
  <c r="S421" i="2" s="1"/>
  <c r="R422" i="2"/>
  <c r="S422" i="2" s="1"/>
  <c r="R423" i="2"/>
  <c r="S423" i="2" s="1"/>
  <c r="R424" i="2"/>
  <c r="S424" i="2" s="1"/>
  <c r="R425" i="2"/>
  <c r="S425" i="2" s="1"/>
  <c r="R426" i="2"/>
  <c r="S426" i="2" s="1"/>
  <c r="R427" i="2"/>
  <c r="S427" i="2" s="1"/>
  <c r="R428" i="2"/>
  <c r="S428" i="2" s="1"/>
  <c r="R429" i="2"/>
  <c r="S429" i="2" s="1"/>
  <c r="R430" i="2"/>
  <c r="S430" i="2" s="1"/>
  <c r="R431" i="2"/>
  <c r="S431" i="2" s="1"/>
  <c r="R432" i="2"/>
  <c r="S432" i="2" s="1"/>
  <c r="R433" i="2"/>
  <c r="S433" i="2" s="1"/>
  <c r="R434" i="2"/>
  <c r="S434" i="2" s="1"/>
  <c r="R435" i="2"/>
  <c r="S435" i="2" s="1"/>
  <c r="R436" i="2"/>
  <c r="S436" i="2" s="1"/>
  <c r="R437" i="2"/>
  <c r="S437" i="2" s="1"/>
  <c r="R438" i="2"/>
  <c r="S438" i="2" s="1"/>
  <c r="R439" i="2"/>
  <c r="S439" i="2" s="1"/>
  <c r="R440" i="2"/>
  <c r="S440" i="2" s="1"/>
  <c r="R441" i="2"/>
  <c r="S441" i="2" s="1"/>
  <c r="R442" i="2"/>
  <c r="S442" i="2" s="1"/>
  <c r="R443" i="2"/>
  <c r="S443" i="2" s="1"/>
  <c r="R444" i="2"/>
  <c r="S444" i="2" s="1"/>
  <c r="R445" i="2"/>
  <c r="S445" i="2" s="1"/>
  <c r="R446" i="2"/>
  <c r="S446" i="2" s="1"/>
  <c r="R447" i="2"/>
  <c r="S447" i="2" s="1"/>
  <c r="R448" i="2"/>
  <c r="S448" i="2" s="1"/>
  <c r="R449" i="2"/>
  <c r="S449" i="2" s="1"/>
  <c r="R450" i="2"/>
  <c r="S450" i="2" s="1"/>
  <c r="R451" i="2"/>
  <c r="S451" i="2" s="1"/>
  <c r="R452" i="2"/>
  <c r="S452" i="2" s="1"/>
  <c r="R453" i="2"/>
  <c r="S453" i="2" s="1"/>
  <c r="R454" i="2"/>
  <c r="S454" i="2" s="1"/>
  <c r="R455" i="2"/>
  <c r="S455" i="2" s="1"/>
  <c r="R456" i="2"/>
  <c r="S456" i="2" s="1"/>
  <c r="R457" i="2"/>
  <c r="S457" i="2" s="1"/>
  <c r="R458" i="2"/>
  <c r="S458" i="2" s="1"/>
  <c r="R459" i="2"/>
  <c r="S459" i="2" s="1"/>
  <c r="R460" i="2"/>
  <c r="S460" i="2" s="1"/>
  <c r="R461" i="2"/>
  <c r="S461" i="2" s="1"/>
  <c r="R462" i="2"/>
  <c r="S462" i="2" s="1"/>
  <c r="R463" i="2"/>
  <c r="S463" i="2" s="1"/>
  <c r="R464" i="2"/>
  <c r="S464" i="2" s="1"/>
  <c r="R465" i="2"/>
  <c r="S465" i="2" s="1"/>
  <c r="R466" i="2"/>
  <c r="S466" i="2" s="1"/>
  <c r="R467" i="2"/>
  <c r="S467" i="2" s="1"/>
  <c r="R468" i="2"/>
  <c r="S468" i="2" s="1"/>
  <c r="R469" i="2"/>
  <c r="S469" i="2" s="1"/>
  <c r="R470" i="2"/>
  <c r="S470" i="2" s="1"/>
  <c r="R471" i="2"/>
  <c r="S471" i="2" s="1"/>
  <c r="R472" i="2"/>
  <c r="S472" i="2" s="1"/>
  <c r="R473" i="2"/>
  <c r="S473" i="2" s="1"/>
  <c r="R474" i="2"/>
  <c r="S474" i="2" s="1"/>
  <c r="R475" i="2"/>
  <c r="S475" i="2" s="1"/>
  <c r="R476" i="2"/>
  <c r="S476" i="2" s="1"/>
  <c r="R477" i="2"/>
  <c r="S477" i="2" s="1"/>
  <c r="R478" i="2"/>
  <c r="S478" i="2" s="1"/>
  <c r="R479" i="2"/>
  <c r="S479" i="2" s="1"/>
  <c r="R480" i="2"/>
  <c r="S480" i="2" s="1"/>
  <c r="R481" i="2"/>
  <c r="S481" i="2" s="1"/>
  <c r="R482" i="2"/>
  <c r="S482" i="2" s="1"/>
  <c r="R483" i="2"/>
  <c r="S483" i="2" s="1"/>
  <c r="R484" i="2"/>
  <c r="S484" i="2" s="1"/>
  <c r="R485" i="2"/>
  <c r="S485" i="2" s="1"/>
  <c r="R486" i="2"/>
  <c r="S486" i="2" s="1"/>
  <c r="R487" i="2"/>
  <c r="S487" i="2" s="1"/>
  <c r="R488" i="2"/>
  <c r="S488" i="2" s="1"/>
  <c r="R489" i="2"/>
  <c r="S489" i="2" s="1"/>
  <c r="R490" i="2"/>
  <c r="S490" i="2" s="1"/>
  <c r="R491" i="2"/>
  <c r="S491" i="2" s="1"/>
  <c r="R492" i="2"/>
  <c r="S492" i="2" s="1"/>
  <c r="R493" i="2"/>
  <c r="S493" i="2" s="1"/>
  <c r="R494" i="2"/>
  <c r="S494" i="2" s="1"/>
  <c r="R495" i="2"/>
  <c r="S495" i="2" s="1"/>
  <c r="R496" i="2"/>
  <c r="S496" i="2" s="1"/>
  <c r="R497" i="2"/>
  <c r="S497" i="2" s="1"/>
  <c r="R498" i="2"/>
  <c r="S498" i="2" s="1"/>
  <c r="R499" i="2"/>
  <c r="S499" i="2" s="1"/>
  <c r="R500" i="2"/>
  <c r="S500" i="2" s="1"/>
  <c r="R501" i="2"/>
  <c r="S501" i="2" s="1"/>
  <c r="R502" i="2"/>
  <c r="S502" i="2" s="1"/>
  <c r="R503" i="2"/>
  <c r="S503" i="2" s="1"/>
  <c r="R504" i="2"/>
  <c r="S504" i="2" s="1"/>
  <c r="R505" i="2"/>
  <c r="S505" i="2" s="1"/>
  <c r="R506" i="2"/>
  <c r="S506" i="2" s="1"/>
  <c r="R507" i="2"/>
  <c r="S507" i="2" s="1"/>
  <c r="R508" i="2"/>
  <c r="S508" i="2" s="1"/>
  <c r="R509" i="2"/>
  <c r="S509" i="2" s="1"/>
  <c r="R510" i="2"/>
  <c r="S510" i="2" s="1"/>
  <c r="R511" i="2"/>
  <c r="S511" i="2" s="1"/>
  <c r="R512" i="2"/>
  <c r="S512" i="2" s="1"/>
  <c r="R513" i="2"/>
  <c r="S513" i="2" s="1"/>
  <c r="R514" i="2"/>
  <c r="S514" i="2" s="1"/>
  <c r="R515" i="2"/>
  <c r="S515" i="2" s="1"/>
  <c r="R516" i="2"/>
  <c r="S516" i="2" s="1"/>
  <c r="R517" i="2"/>
  <c r="S517" i="2" s="1"/>
  <c r="R518" i="2"/>
  <c r="S518" i="2" s="1"/>
  <c r="R519" i="2"/>
  <c r="S519" i="2" s="1"/>
  <c r="R520" i="2"/>
  <c r="S520" i="2" s="1"/>
  <c r="R521" i="2"/>
  <c r="S521" i="2" s="1"/>
  <c r="R522" i="2"/>
  <c r="S522" i="2" s="1"/>
  <c r="R523" i="2"/>
  <c r="S523" i="2" s="1"/>
  <c r="R524" i="2"/>
  <c r="S524" i="2" s="1"/>
  <c r="R525" i="2"/>
  <c r="S525" i="2" s="1"/>
  <c r="R526" i="2"/>
  <c r="S526" i="2" s="1"/>
  <c r="R527" i="2"/>
  <c r="S527" i="2" s="1"/>
  <c r="R528" i="2"/>
  <c r="S528" i="2" s="1"/>
  <c r="R529" i="2"/>
  <c r="S529" i="2" s="1"/>
  <c r="R530" i="2"/>
  <c r="S530" i="2" s="1"/>
  <c r="R531" i="2"/>
  <c r="S531" i="2" s="1"/>
  <c r="R532" i="2"/>
  <c r="S532" i="2" s="1"/>
  <c r="R533" i="2"/>
  <c r="S533" i="2" s="1"/>
  <c r="R534" i="2"/>
  <c r="S534" i="2" s="1"/>
  <c r="R535" i="2"/>
  <c r="S535" i="2" s="1"/>
  <c r="R536" i="2"/>
  <c r="S536" i="2" s="1"/>
  <c r="R537" i="2"/>
  <c r="S537" i="2" s="1"/>
  <c r="R538" i="2"/>
  <c r="S538" i="2" s="1"/>
  <c r="R539" i="2"/>
  <c r="S539" i="2" s="1"/>
  <c r="R540" i="2"/>
  <c r="S540" i="2" s="1"/>
  <c r="R541" i="2"/>
  <c r="S541" i="2" s="1"/>
  <c r="R542" i="2"/>
  <c r="S542" i="2" s="1"/>
  <c r="R543" i="2"/>
  <c r="S543" i="2" s="1"/>
  <c r="R544" i="2"/>
  <c r="S544" i="2" s="1"/>
  <c r="R545" i="2"/>
  <c r="S545" i="2" s="1"/>
  <c r="R546" i="2"/>
  <c r="S546" i="2" s="1"/>
  <c r="R547" i="2"/>
  <c r="S547" i="2" s="1"/>
  <c r="R548" i="2"/>
  <c r="S548" i="2" s="1"/>
  <c r="R549" i="2"/>
  <c r="S549" i="2" s="1"/>
  <c r="R550" i="2"/>
  <c r="S550" i="2" s="1"/>
  <c r="R551" i="2"/>
  <c r="S551" i="2" s="1"/>
  <c r="R552" i="2"/>
  <c r="S552" i="2" s="1"/>
  <c r="R553" i="2"/>
  <c r="S553" i="2" s="1"/>
  <c r="R554" i="2"/>
  <c r="S554" i="2" s="1"/>
  <c r="R555" i="2"/>
  <c r="S555" i="2" s="1"/>
  <c r="R556" i="2"/>
  <c r="S556" i="2" s="1"/>
  <c r="R557" i="2"/>
  <c r="S557" i="2" s="1"/>
  <c r="R558" i="2"/>
  <c r="S558" i="2" s="1"/>
  <c r="R559" i="2"/>
  <c r="S559" i="2" s="1"/>
  <c r="R560" i="2"/>
  <c r="S560" i="2" s="1"/>
  <c r="R561" i="2"/>
  <c r="S561" i="2" s="1"/>
  <c r="R562" i="2"/>
  <c r="S562" i="2" s="1"/>
  <c r="R563" i="2"/>
  <c r="S563" i="2" s="1"/>
  <c r="R564" i="2"/>
  <c r="S564" i="2" s="1"/>
  <c r="R565" i="2"/>
  <c r="S565" i="2" s="1"/>
  <c r="R566" i="2"/>
  <c r="S566" i="2" s="1"/>
  <c r="R567" i="2"/>
  <c r="S567" i="2" s="1"/>
  <c r="R568" i="2"/>
  <c r="S568" i="2" s="1"/>
  <c r="R569" i="2"/>
  <c r="S569" i="2" s="1"/>
  <c r="R570" i="2"/>
  <c r="S570" i="2" s="1"/>
  <c r="R571" i="2"/>
  <c r="S571" i="2" s="1"/>
  <c r="R572" i="2"/>
  <c r="S572" i="2" s="1"/>
  <c r="R573" i="2"/>
  <c r="S573" i="2" s="1"/>
  <c r="R574" i="2"/>
  <c r="S574" i="2" s="1"/>
  <c r="R575" i="2"/>
  <c r="S575" i="2" s="1"/>
  <c r="R576" i="2"/>
  <c r="S576" i="2" s="1"/>
  <c r="R577" i="2"/>
  <c r="S577" i="2" s="1"/>
  <c r="R578" i="2"/>
  <c r="S578" i="2" s="1"/>
  <c r="R579" i="2"/>
  <c r="S579" i="2" s="1"/>
  <c r="R580" i="2"/>
  <c r="S580" i="2" s="1"/>
  <c r="R581" i="2"/>
  <c r="S581" i="2" s="1"/>
  <c r="R582" i="2"/>
  <c r="S582" i="2" s="1"/>
  <c r="R583" i="2"/>
  <c r="S583" i="2" s="1"/>
  <c r="R584" i="2"/>
  <c r="S584" i="2" s="1"/>
  <c r="R585" i="2"/>
  <c r="S585" i="2" s="1"/>
  <c r="R586" i="2"/>
  <c r="S586" i="2" s="1"/>
  <c r="R587" i="2"/>
  <c r="S587" i="2" s="1"/>
  <c r="R588" i="2"/>
  <c r="S588" i="2" s="1"/>
  <c r="R589" i="2"/>
  <c r="S589" i="2" s="1"/>
  <c r="R590" i="2"/>
  <c r="S590" i="2" s="1"/>
  <c r="R591" i="2"/>
  <c r="S591" i="2" s="1"/>
  <c r="R592" i="2"/>
  <c r="S592" i="2" s="1"/>
  <c r="R593" i="2"/>
  <c r="S593" i="2" s="1"/>
  <c r="R594" i="2"/>
  <c r="S594" i="2" s="1"/>
  <c r="R595" i="2"/>
  <c r="S595" i="2" s="1"/>
  <c r="R596" i="2"/>
  <c r="S596" i="2" s="1"/>
  <c r="R597" i="2"/>
  <c r="S597" i="2" s="1"/>
  <c r="R598" i="2"/>
  <c r="S598" i="2" s="1"/>
  <c r="R599" i="2"/>
  <c r="S599" i="2" s="1"/>
  <c r="R600" i="2"/>
  <c r="S600" i="2" s="1"/>
  <c r="R601" i="2"/>
  <c r="S601" i="2" s="1"/>
  <c r="R602" i="2"/>
  <c r="S602" i="2" s="1"/>
  <c r="R603" i="2"/>
  <c r="S603" i="2" s="1"/>
  <c r="R604" i="2"/>
  <c r="S604" i="2" s="1"/>
  <c r="R605" i="2"/>
  <c r="S605" i="2" s="1"/>
  <c r="R606" i="2"/>
  <c r="S606" i="2" s="1"/>
  <c r="R607" i="2"/>
  <c r="S607" i="2" s="1"/>
  <c r="R608" i="2"/>
  <c r="S608" i="2" s="1"/>
  <c r="R609" i="2"/>
  <c r="S609" i="2" s="1"/>
  <c r="R610" i="2"/>
  <c r="S610" i="2" s="1"/>
  <c r="R611" i="2"/>
  <c r="S611" i="2" s="1"/>
  <c r="R612" i="2"/>
  <c r="S612" i="2" s="1"/>
  <c r="R613" i="2"/>
  <c r="S613" i="2" s="1"/>
  <c r="R614" i="2"/>
  <c r="S614" i="2" s="1"/>
  <c r="R615" i="2"/>
  <c r="S615" i="2" s="1"/>
  <c r="R616" i="2"/>
  <c r="S616" i="2" s="1"/>
  <c r="R617" i="2"/>
  <c r="S617" i="2" s="1"/>
  <c r="R618" i="2"/>
  <c r="S618" i="2" s="1"/>
  <c r="R619" i="2"/>
  <c r="S619" i="2" s="1"/>
  <c r="R620" i="2"/>
  <c r="S620" i="2" s="1"/>
  <c r="R621" i="2"/>
  <c r="S621" i="2" s="1"/>
  <c r="R622" i="2"/>
  <c r="S622" i="2" s="1"/>
  <c r="R623" i="2"/>
  <c r="S623" i="2" s="1"/>
  <c r="R624" i="2"/>
  <c r="S624" i="2" s="1"/>
  <c r="R625" i="2"/>
  <c r="S625" i="2" s="1"/>
  <c r="R626" i="2"/>
  <c r="S626" i="2" s="1"/>
  <c r="R627" i="2"/>
  <c r="S627" i="2" s="1"/>
  <c r="R628" i="2"/>
  <c r="S628" i="2" s="1"/>
  <c r="R629" i="2"/>
  <c r="S629" i="2" s="1"/>
  <c r="R630" i="2"/>
  <c r="S630" i="2" s="1"/>
  <c r="R631" i="2"/>
  <c r="S631" i="2" s="1"/>
  <c r="R632" i="2"/>
  <c r="S632" i="2" s="1"/>
  <c r="R633" i="2"/>
  <c r="S633" i="2" s="1"/>
  <c r="R634" i="2"/>
  <c r="S634" i="2" s="1"/>
  <c r="R635" i="2"/>
  <c r="S635" i="2" s="1"/>
  <c r="R636" i="2"/>
  <c r="S636" i="2" s="1"/>
  <c r="R637" i="2"/>
  <c r="S637" i="2" s="1"/>
  <c r="R638" i="2"/>
  <c r="S638" i="2" s="1"/>
  <c r="R639" i="2"/>
  <c r="S639" i="2" s="1"/>
  <c r="R640" i="2"/>
  <c r="S640" i="2" s="1"/>
  <c r="R641" i="2"/>
  <c r="S641" i="2" s="1"/>
  <c r="R642" i="2"/>
  <c r="S642" i="2" s="1"/>
  <c r="R643" i="2"/>
  <c r="S643" i="2" s="1"/>
  <c r="R644" i="2"/>
  <c r="S644" i="2" s="1"/>
  <c r="R645" i="2"/>
  <c r="S645" i="2" s="1"/>
  <c r="R646" i="2"/>
  <c r="S646" i="2" s="1"/>
  <c r="R647" i="2"/>
  <c r="S647" i="2" s="1"/>
  <c r="R648" i="2"/>
  <c r="S648" i="2" s="1"/>
  <c r="R649" i="2"/>
  <c r="S649" i="2" s="1"/>
  <c r="R650" i="2"/>
  <c r="S650" i="2" s="1"/>
  <c r="R651" i="2"/>
  <c r="S651" i="2" s="1"/>
  <c r="R652" i="2"/>
  <c r="S652" i="2" s="1"/>
  <c r="R653" i="2"/>
  <c r="S653" i="2" s="1"/>
  <c r="R654" i="2"/>
  <c r="S654" i="2" s="1"/>
  <c r="R655" i="2"/>
  <c r="S655" i="2" s="1"/>
  <c r="R656" i="2"/>
  <c r="S656" i="2" s="1"/>
  <c r="R657" i="2"/>
  <c r="S657" i="2" s="1"/>
  <c r="R658" i="2"/>
  <c r="S658" i="2" s="1"/>
  <c r="R659" i="2"/>
  <c r="S659" i="2" s="1"/>
  <c r="R660" i="2"/>
  <c r="S660" i="2" s="1"/>
  <c r="R661" i="2"/>
  <c r="S661" i="2" s="1"/>
  <c r="R662" i="2"/>
  <c r="S662" i="2" s="1"/>
  <c r="R663" i="2"/>
  <c r="S663" i="2" s="1"/>
  <c r="R664" i="2"/>
  <c r="S664" i="2" s="1"/>
  <c r="R665" i="2"/>
  <c r="S665" i="2" s="1"/>
  <c r="R666" i="2"/>
  <c r="S666" i="2" s="1"/>
  <c r="R667" i="2"/>
  <c r="S667" i="2" s="1"/>
  <c r="R668" i="2"/>
  <c r="S668" i="2" s="1"/>
  <c r="R669" i="2"/>
  <c r="S669" i="2" s="1"/>
  <c r="R670" i="2"/>
  <c r="S670" i="2" s="1"/>
  <c r="R671" i="2"/>
  <c r="S671" i="2" s="1"/>
  <c r="R672" i="2"/>
  <c r="S672" i="2" s="1"/>
  <c r="R673" i="2"/>
  <c r="S673" i="2" s="1"/>
  <c r="R674" i="2"/>
  <c r="S674" i="2" s="1"/>
  <c r="R675" i="2"/>
  <c r="S675" i="2" s="1"/>
  <c r="R676" i="2"/>
  <c r="S676" i="2" s="1"/>
  <c r="R677" i="2"/>
  <c r="S677" i="2" s="1"/>
  <c r="R678" i="2"/>
  <c r="S678" i="2" s="1"/>
  <c r="R679" i="2"/>
  <c r="S679" i="2" s="1"/>
  <c r="R680" i="2"/>
  <c r="S680" i="2" s="1"/>
  <c r="R681" i="2"/>
  <c r="S681" i="2" s="1"/>
  <c r="R682" i="2"/>
  <c r="S682" i="2" s="1"/>
  <c r="R683" i="2"/>
  <c r="S683" i="2" s="1"/>
  <c r="R684" i="2"/>
  <c r="S684" i="2" s="1"/>
  <c r="R685" i="2"/>
  <c r="S685" i="2" s="1"/>
  <c r="R686" i="2"/>
  <c r="S686" i="2" s="1"/>
  <c r="R687" i="2"/>
  <c r="S687" i="2" s="1"/>
  <c r="R688" i="2"/>
  <c r="S688" i="2" s="1"/>
  <c r="R689" i="2"/>
  <c r="S689" i="2" s="1"/>
  <c r="R690" i="2"/>
  <c r="S690" i="2" s="1"/>
  <c r="R691" i="2"/>
  <c r="S691" i="2" s="1"/>
  <c r="R692" i="2"/>
  <c r="S692" i="2" s="1"/>
  <c r="R693" i="2"/>
  <c r="S693" i="2" s="1"/>
  <c r="R694" i="2"/>
  <c r="S694" i="2" s="1"/>
  <c r="R695" i="2"/>
  <c r="S695" i="2" s="1"/>
  <c r="R696" i="2"/>
  <c r="S696" i="2" s="1"/>
  <c r="R697" i="2"/>
  <c r="S697" i="2" s="1"/>
  <c r="R698" i="2"/>
  <c r="S698" i="2" s="1"/>
  <c r="R699" i="2"/>
  <c r="S699" i="2" s="1"/>
  <c r="R700" i="2"/>
  <c r="S700" i="2" s="1"/>
  <c r="R701" i="2"/>
  <c r="S701" i="2" s="1"/>
  <c r="R702" i="2"/>
  <c r="S702" i="2" s="1"/>
  <c r="R703" i="2"/>
  <c r="S703" i="2" s="1"/>
  <c r="R704" i="2"/>
  <c r="S704" i="2" s="1"/>
  <c r="R705" i="2"/>
  <c r="S705" i="2" s="1"/>
  <c r="R706" i="2"/>
  <c r="S706" i="2" s="1"/>
  <c r="R707" i="2"/>
  <c r="S707" i="2" s="1"/>
  <c r="R708" i="2"/>
  <c r="S708" i="2" s="1"/>
  <c r="R709" i="2"/>
  <c r="S709" i="2" s="1"/>
  <c r="R710" i="2"/>
  <c r="S710" i="2" s="1"/>
  <c r="R711" i="2"/>
  <c r="S711" i="2" s="1"/>
  <c r="R712" i="2"/>
  <c r="S712" i="2" s="1"/>
  <c r="R713" i="2"/>
  <c r="S713" i="2" s="1"/>
  <c r="R714" i="2"/>
  <c r="S714" i="2" s="1"/>
  <c r="R715" i="2"/>
  <c r="S715" i="2" s="1"/>
  <c r="R716" i="2"/>
  <c r="S716" i="2" s="1"/>
  <c r="R717" i="2"/>
  <c r="S717" i="2" s="1"/>
  <c r="R718" i="2"/>
  <c r="S718" i="2" s="1"/>
  <c r="R719" i="2"/>
  <c r="S719" i="2" s="1"/>
  <c r="R720" i="2"/>
  <c r="S720" i="2" s="1"/>
  <c r="R721" i="2"/>
  <c r="S721" i="2" s="1"/>
  <c r="R722" i="2"/>
  <c r="S722" i="2" s="1"/>
  <c r="R723" i="2"/>
  <c r="S723" i="2" s="1"/>
  <c r="R724" i="2"/>
  <c r="S724" i="2" s="1"/>
  <c r="R725" i="2"/>
  <c r="S725" i="2" s="1"/>
  <c r="R726" i="2"/>
  <c r="S726" i="2" s="1"/>
  <c r="R727" i="2"/>
  <c r="S727" i="2" s="1"/>
  <c r="R728" i="2"/>
  <c r="S728" i="2" s="1"/>
  <c r="R729" i="2"/>
  <c r="S729" i="2" s="1"/>
  <c r="R730" i="2"/>
  <c r="S730" i="2" s="1"/>
  <c r="R731" i="2"/>
  <c r="S731" i="2" s="1"/>
  <c r="R732" i="2"/>
  <c r="S732" i="2" s="1"/>
  <c r="R733" i="2"/>
  <c r="S733" i="2" s="1"/>
  <c r="R734" i="2"/>
  <c r="S734" i="2" s="1"/>
  <c r="R735" i="2"/>
  <c r="S735" i="2" s="1"/>
  <c r="R736" i="2"/>
  <c r="S736" i="2" s="1"/>
  <c r="R737" i="2"/>
  <c r="S737" i="2" s="1"/>
  <c r="R738" i="2"/>
  <c r="S738" i="2" s="1"/>
  <c r="R739" i="2"/>
  <c r="S739" i="2" s="1"/>
  <c r="R740" i="2"/>
  <c r="S740" i="2" s="1"/>
  <c r="R741" i="2"/>
  <c r="S741" i="2" s="1"/>
  <c r="R742" i="2"/>
  <c r="S742" i="2" s="1"/>
  <c r="R743" i="2"/>
  <c r="S743" i="2" s="1"/>
  <c r="R744" i="2"/>
  <c r="S744" i="2" s="1"/>
  <c r="R745" i="2"/>
  <c r="S745" i="2" s="1"/>
  <c r="R746" i="2"/>
  <c r="S746" i="2" s="1"/>
  <c r="R747" i="2"/>
  <c r="S747" i="2" s="1"/>
  <c r="R748" i="2"/>
  <c r="S748" i="2" s="1"/>
  <c r="R749" i="2"/>
  <c r="S749" i="2" s="1"/>
  <c r="R750" i="2"/>
  <c r="S750" i="2" s="1"/>
  <c r="R751" i="2"/>
  <c r="S751" i="2" s="1"/>
  <c r="R752" i="2"/>
  <c r="S752" i="2" s="1"/>
  <c r="R753" i="2"/>
  <c r="S753" i="2" s="1"/>
  <c r="R754" i="2"/>
  <c r="S754" i="2" s="1"/>
  <c r="R755" i="2"/>
  <c r="S755" i="2" s="1"/>
  <c r="R756" i="2"/>
  <c r="S756" i="2" s="1"/>
  <c r="R757" i="2"/>
  <c r="S757" i="2" s="1"/>
  <c r="R758" i="2"/>
  <c r="S758" i="2" s="1"/>
  <c r="R759" i="2"/>
  <c r="S759" i="2" s="1"/>
  <c r="R760" i="2"/>
  <c r="S760" i="2" s="1"/>
  <c r="R761" i="2"/>
  <c r="S761" i="2" s="1"/>
  <c r="R762" i="2"/>
  <c r="S762" i="2" s="1"/>
  <c r="R763" i="2"/>
  <c r="S763" i="2" s="1"/>
  <c r="R764" i="2"/>
  <c r="S764" i="2" s="1"/>
  <c r="R765" i="2"/>
  <c r="S765" i="2" s="1"/>
  <c r="R766" i="2"/>
  <c r="S766" i="2" s="1"/>
  <c r="R767" i="2"/>
  <c r="S767" i="2" s="1"/>
  <c r="R768" i="2"/>
  <c r="S768" i="2" s="1"/>
  <c r="R769" i="2"/>
  <c r="S769" i="2" s="1"/>
  <c r="R770" i="2"/>
  <c r="S770" i="2" s="1"/>
  <c r="R771" i="2"/>
  <c r="S771" i="2" s="1"/>
  <c r="R772" i="2"/>
  <c r="S772" i="2" s="1"/>
  <c r="R773" i="2"/>
  <c r="S773" i="2" s="1"/>
  <c r="R774" i="2"/>
  <c r="S774" i="2" s="1"/>
  <c r="R775" i="2"/>
  <c r="S775" i="2" s="1"/>
  <c r="R776" i="2"/>
  <c r="S776" i="2" s="1"/>
  <c r="R777" i="2"/>
  <c r="S777" i="2" s="1"/>
  <c r="R778" i="2"/>
  <c r="S778" i="2" s="1"/>
  <c r="R2" i="2"/>
  <c r="S2" i="2" s="1"/>
</calcChain>
</file>

<file path=xl/sharedStrings.xml><?xml version="1.0" encoding="utf-8"?>
<sst xmlns="http://schemas.openxmlformats.org/spreadsheetml/2006/main" count="9651" uniqueCount="1727">
  <si>
    <t>ID</t>
  </si>
  <si>
    <t>AppID</t>
  </si>
  <si>
    <t>Middle</t>
  </si>
  <si>
    <t>Last</t>
  </si>
  <si>
    <t>Campus</t>
  </si>
  <si>
    <t>School</t>
  </si>
  <si>
    <t>Level</t>
  </si>
  <si>
    <t>Major</t>
  </si>
  <si>
    <t>Title</t>
  </si>
  <si>
    <t>Mobile</t>
  </si>
  <si>
    <t>Enrolled Semester</t>
  </si>
  <si>
    <t>Major Credits</t>
  </si>
  <si>
    <t>Completed</t>
  </si>
  <si>
    <t>Reg. Credits</t>
  </si>
  <si>
    <t>Left Credits</t>
  </si>
  <si>
    <t>Ahmad</t>
  </si>
  <si>
    <t>Mohamad</t>
  </si>
  <si>
    <t>Beirut</t>
  </si>
  <si>
    <t>SoEN</t>
  </si>
  <si>
    <t>underGraduate</t>
  </si>
  <si>
    <t>Spring  2016 - 2017</t>
  </si>
  <si>
    <t>Mohammad</t>
  </si>
  <si>
    <t>Fall  2017 - 2018</t>
  </si>
  <si>
    <t>SoAS</t>
  </si>
  <si>
    <t>Ali</t>
  </si>
  <si>
    <t>Nasser</t>
  </si>
  <si>
    <t>Awwad</t>
  </si>
  <si>
    <t>Hasan</t>
  </si>
  <si>
    <t>Jaber</t>
  </si>
  <si>
    <t>Jomaa</t>
  </si>
  <si>
    <t>Amer</t>
  </si>
  <si>
    <t>Nassif</t>
  </si>
  <si>
    <t>Ayman</t>
  </si>
  <si>
    <t>Hussein</t>
  </si>
  <si>
    <t>Ghandour</t>
  </si>
  <si>
    <t>Dani</t>
  </si>
  <si>
    <t>Naser</t>
  </si>
  <si>
    <t>Hilal</t>
  </si>
  <si>
    <t>Fadi</t>
  </si>
  <si>
    <t>Yehya</t>
  </si>
  <si>
    <t>Hadi</t>
  </si>
  <si>
    <t>Ramez</t>
  </si>
  <si>
    <t>Hassan</t>
  </si>
  <si>
    <t>Ibrahim</t>
  </si>
  <si>
    <t>Haidar</t>
  </si>
  <si>
    <t>Issa</t>
  </si>
  <si>
    <t>Maarouf</t>
  </si>
  <si>
    <t>Kabalan</t>
  </si>
  <si>
    <t>Jamal</t>
  </si>
  <si>
    <t>Khaled</t>
  </si>
  <si>
    <t>Karim</t>
  </si>
  <si>
    <t>Fall  2020 - 2021</t>
  </si>
  <si>
    <t>Sobhi</t>
  </si>
  <si>
    <t>Khodor</t>
  </si>
  <si>
    <t>Mahdi</t>
  </si>
  <si>
    <t>Abbas</t>
  </si>
  <si>
    <t>Fall  2018 - 2019</t>
  </si>
  <si>
    <t>Hani</t>
  </si>
  <si>
    <t>Mostafa</t>
  </si>
  <si>
    <t>Bassam</t>
  </si>
  <si>
    <t>Rami</t>
  </si>
  <si>
    <t>Bassem</t>
  </si>
  <si>
    <t>Harb</t>
  </si>
  <si>
    <t>Samer</t>
  </si>
  <si>
    <t>Farid</t>
  </si>
  <si>
    <t>Moussa</t>
  </si>
  <si>
    <t>Serena</t>
  </si>
  <si>
    <t>Adel</t>
  </si>
  <si>
    <t>SoED</t>
  </si>
  <si>
    <t>Wassim</t>
  </si>
  <si>
    <t>Mahmoud</t>
  </si>
  <si>
    <t>Aoun</t>
  </si>
  <si>
    <t>Toufic</t>
  </si>
  <si>
    <t>Nasrallah</t>
  </si>
  <si>
    <t>First</t>
  </si>
  <si>
    <t>Raed</t>
  </si>
  <si>
    <t>Mount Lebanon</t>
  </si>
  <si>
    <t>TENG</t>
  </si>
  <si>
    <t>Bachelor of Science in Communication Engineering</t>
  </si>
  <si>
    <t>Fall  2021 - 2022</t>
  </si>
  <si>
    <t>Abdallah</t>
  </si>
  <si>
    <t>Arab</t>
  </si>
  <si>
    <t>MENG</t>
  </si>
  <si>
    <t>Bachelor of Science in Mechanical Engineering</t>
  </si>
  <si>
    <t>Spring  2025 - 2026</t>
  </si>
  <si>
    <t>Abigail</t>
  </si>
  <si>
    <t>Sami</t>
  </si>
  <si>
    <t>Al Nashef</t>
  </si>
  <si>
    <t>GDES</t>
  </si>
  <si>
    <t>Bachelor of Arts in Graphic Design</t>
  </si>
  <si>
    <t>Fall  2023 - 2024</t>
  </si>
  <si>
    <t>Adam</t>
  </si>
  <si>
    <t>Samir</t>
  </si>
  <si>
    <t>SoBU</t>
  </si>
  <si>
    <t>BMKT</t>
  </si>
  <si>
    <t>Bachelor of Business Administration in Marketing</t>
  </si>
  <si>
    <t>Al Taki</t>
  </si>
  <si>
    <t>BBMED</t>
  </si>
  <si>
    <t>Bachelor of Biomedical Sciences</t>
  </si>
  <si>
    <t>Fall  2025 - 2026</t>
  </si>
  <si>
    <t>Adolphe</t>
  </si>
  <si>
    <t>Edgard</t>
  </si>
  <si>
    <t>Sakr</t>
  </si>
  <si>
    <t>CSCI</t>
  </si>
  <si>
    <t>Bachelor of Science in Computer Science</t>
  </si>
  <si>
    <t>Alwan</t>
  </si>
  <si>
    <t>Fakherdine</t>
  </si>
  <si>
    <t>BMGT</t>
  </si>
  <si>
    <t>Bachelor of Business Administration in Business Management</t>
  </si>
  <si>
    <t>Badr Eddin</t>
  </si>
  <si>
    <t>Zeidan</t>
  </si>
  <si>
    <t>BMIS</t>
  </si>
  <si>
    <t>Bachelor of Business Administration in Management Information Systems</t>
  </si>
  <si>
    <t>Fall  2024 - 2025</t>
  </si>
  <si>
    <t>Aisha</t>
  </si>
  <si>
    <t>Kamal El Dine</t>
  </si>
  <si>
    <t>NUTR</t>
  </si>
  <si>
    <t>Bachelor of Science in Nutrition and Dietetics</t>
  </si>
  <si>
    <t>Al Hady Ali</t>
  </si>
  <si>
    <t>Elias</t>
  </si>
  <si>
    <t>Deeb</t>
  </si>
  <si>
    <t>Alaa Eddine</t>
  </si>
  <si>
    <t>Salah Eddine</t>
  </si>
  <si>
    <t>Khalife</t>
  </si>
  <si>
    <t>BBAMIS</t>
  </si>
  <si>
    <t>Bachelor of Business Administration - Management of Information Systems Concentration</t>
  </si>
  <si>
    <t>Alain</t>
  </si>
  <si>
    <t>Bou Abdo</t>
  </si>
  <si>
    <t>Summer  2023 - 2024</t>
  </si>
  <si>
    <t>Michel</t>
  </si>
  <si>
    <t>Eid</t>
  </si>
  <si>
    <t>Antoine</t>
  </si>
  <si>
    <t>Keyrouz</t>
  </si>
  <si>
    <t>BFIN</t>
  </si>
  <si>
    <t>Bachelor of Business Administration in Banking and Finance</t>
  </si>
  <si>
    <t>Alex</t>
  </si>
  <si>
    <t>Vartan</t>
  </si>
  <si>
    <t>Akbasharian</t>
  </si>
  <si>
    <t>BBAMG</t>
  </si>
  <si>
    <t>Bachelor of Business Administration - Business Management Concentration</t>
  </si>
  <si>
    <t>Hagop</t>
  </si>
  <si>
    <t>Kalayjian</t>
  </si>
  <si>
    <t>BIDES</t>
  </si>
  <si>
    <t>Bachelor of Interior Design</t>
  </si>
  <si>
    <t>Alexandre</t>
  </si>
  <si>
    <t>Charbel</t>
  </si>
  <si>
    <t>IENG</t>
  </si>
  <si>
    <t>Bachelor of Science in Industrial Engineering</t>
  </si>
  <si>
    <t>Alexia</t>
  </si>
  <si>
    <t>Krikor</t>
  </si>
  <si>
    <t>Parlakian</t>
  </si>
  <si>
    <t>BMED</t>
  </si>
  <si>
    <t>Bachelor of Science in Biomedical Science</t>
  </si>
  <si>
    <t>Fall  2022 - 2023</t>
  </si>
  <si>
    <t>Alexia Narine</t>
  </si>
  <si>
    <t>Kevork</t>
  </si>
  <si>
    <t>Korkornlian</t>
  </si>
  <si>
    <t>Al Maoula</t>
  </si>
  <si>
    <t>Barek</t>
  </si>
  <si>
    <t>IDES</t>
  </si>
  <si>
    <t>Bachelor of Arts in Interior Design</t>
  </si>
  <si>
    <t>Chamass</t>
  </si>
  <si>
    <t>Spring  2020 - 2021</t>
  </si>
  <si>
    <t>Fawaz</t>
  </si>
  <si>
    <t>EENG</t>
  </si>
  <si>
    <t>Bachelor of Science in Electrical Engineering</t>
  </si>
  <si>
    <t>Ghaleb</t>
  </si>
  <si>
    <t>Noun</t>
  </si>
  <si>
    <t>BAIS</t>
  </si>
  <si>
    <t>Bachelor of Business Administration in Accounting Information Systems</t>
  </si>
  <si>
    <t>Tarek</t>
  </si>
  <si>
    <t>LENG</t>
  </si>
  <si>
    <t>Bachelor of Science in Electronics Engineering</t>
  </si>
  <si>
    <t>Ali El Hadi</t>
  </si>
  <si>
    <t>Dandach</t>
  </si>
  <si>
    <t>Alik</t>
  </si>
  <si>
    <t>Antranik</t>
  </si>
  <si>
    <t>Garabed</t>
  </si>
  <si>
    <t>Spring  2022 - 2023</t>
  </si>
  <si>
    <t>Aline</t>
  </si>
  <si>
    <t>Eyad</t>
  </si>
  <si>
    <t>Alblbol</t>
  </si>
  <si>
    <t>Minas</t>
  </si>
  <si>
    <t>Kassounian</t>
  </si>
  <si>
    <t>BBAA</t>
  </si>
  <si>
    <t>Bachelor of Business Administration - Accounting Concentration</t>
  </si>
  <si>
    <t>Alissa</t>
  </si>
  <si>
    <t>Manouk</t>
  </si>
  <si>
    <t>Ohanessian</t>
  </si>
  <si>
    <t>Alphred</t>
  </si>
  <si>
    <t>Elie</t>
  </si>
  <si>
    <t>El Hajj</t>
  </si>
  <si>
    <t>Alya</t>
  </si>
  <si>
    <t>Al Sahili</t>
  </si>
  <si>
    <t>Amal</t>
  </si>
  <si>
    <t>Mhamad</t>
  </si>
  <si>
    <t>Al Mhamad</t>
  </si>
  <si>
    <t>Andrea</t>
  </si>
  <si>
    <t>Georges</t>
  </si>
  <si>
    <t>Bechara</t>
  </si>
  <si>
    <t>SoPH</t>
  </si>
  <si>
    <t>PrPH</t>
  </si>
  <si>
    <t>Pre-Pharmacy</t>
  </si>
  <si>
    <t>Andres</t>
  </si>
  <si>
    <t>Mansour</t>
  </si>
  <si>
    <t>Fall  2019 - 2020</t>
  </si>
  <si>
    <t>Andrew</t>
  </si>
  <si>
    <t>Atallah</t>
  </si>
  <si>
    <t>BFDST</t>
  </si>
  <si>
    <t>Bachelor of Food Technology</t>
  </si>
  <si>
    <t>Angela</t>
  </si>
  <si>
    <t>Rafah</t>
  </si>
  <si>
    <t>Kfoury</t>
  </si>
  <si>
    <t>Angelina</t>
  </si>
  <si>
    <t>Kamil</t>
  </si>
  <si>
    <t>El Samara</t>
  </si>
  <si>
    <t>BBAMK</t>
  </si>
  <si>
    <t>Bachelor of Business Administration - Marketing Concentration</t>
  </si>
  <si>
    <t>Megerditch</t>
  </si>
  <si>
    <t>Jertidian</t>
  </si>
  <si>
    <t>Angy</t>
  </si>
  <si>
    <t>Taan</t>
  </si>
  <si>
    <t>Sayed</t>
  </si>
  <si>
    <t>Anita</t>
  </si>
  <si>
    <t>Edmond</t>
  </si>
  <si>
    <t>Melhem</t>
  </si>
  <si>
    <t>BNUTR</t>
  </si>
  <si>
    <t>Bachelor of Nutrition and Dietetics</t>
  </si>
  <si>
    <t>Anna</t>
  </si>
  <si>
    <t>Maatouk</t>
  </si>
  <si>
    <t>Annie</t>
  </si>
  <si>
    <t>Jack</t>
  </si>
  <si>
    <t>Addoul</t>
  </si>
  <si>
    <t>Anthony</t>
  </si>
  <si>
    <t>Al Alam</t>
  </si>
  <si>
    <t>Jamil</t>
  </si>
  <si>
    <t>Daher</t>
  </si>
  <si>
    <t>RTVF</t>
  </si>
  <si>
    <t>Bachelor of Arts in Communication Arts - Radio and Television</t>
  </si>
  <si>
    <t>Semaan</t>
  </si>
  <si>
    <t>Fouad</t>
  </si>
  <si>
    <t>El Kassis</t>
  </si>
  <si>
    <t>Spring  2024 - 2025</t>
  </si>
  <si>
    <t>Roland</t>
  </si>
  <si>
    <t>El Zoghbi</t>
  </si>
  <si>
    <t>BENG</t>
  </si>
  <si>
    <t>Bachelor of Science in Electronic Engineering - Emphasis On Biomedical</t>
  </si>
  <si>
    <t>Maalouf</t>
  </si>
  <si>
    <t>Chawki</t>
  </si>
  <si>
    <t>Najem</t>
  </si>
  <si>
    <t>BGDES</t>
  </si>
  <si>
    <t>Bachelor of Graphic Design</t>
  </si>
  <si>
    <t>Njeim</t>
  </si>
  <si>
    <t>Chadi</t>
  </si>
  <si>
    <t>Saoud</t>
  </si>
  <si>
    <t>Tannous</t>
  </si>
  <si>
    <t>Pierre</t>
  </si>
  <si>
    <t>Jaajaa</t>
  </si>
  <si>
    <t>BACRT</t>
  </si>
  <si>
    <t>Bachelor of Communication Arts (Radio and Television)</t>
  </si>
  <si>
    <t>Antonio</t>
  </si>
  <si>
    <t>Joseph</t>
  </si>
  <si>
    <t>Shahid</t>
  </si>
  <si>
    <t>Samaha</t>
  </si>
  <si>
    <t>Antranic</t>
  </si>
  <si>
    <t>George</t>
  </si>
  <si>
    <t>Shadoian</t>
  </si>
  <si>
    <t>Arina</t>
  </si>
  <si>
    <t>Ohannes</t>
  </si>
  <si>
    <t>Anjayan</t>
  </si>
  <si>
    <t>Arsanios</t>
  </si>
  <si>
    <t>Nader Salib</t>
  </si>
  <si>
    <t>Rizk Salib</t>
  </si>
  <si>
    <t>Assaad</t>
  </si>
  <si>
    <t>Farhat</t>
  </si>
  <si>
    <t>Aya</t>
  </si>
  <si>
    <t>Fawwaz</t>
  </si>
  <si>
    <t>BBIOL</t>
  </si>
  <si>
    <t>Bachelor of Biology</t>
  </si>
  <si>
    <t>Hazem</t>
  </si>
  <si>
    <t>Younso</t>
  </si>
  <si>
    <t>Aya Nahila</t>
  </si>
  <si>
    <t>Charles</t>
  </si>
  <si>
    <t>Khoury</t>
  </si>
  <si>
    <t>Bachir</t>
  </si>
  <si>
    <t>Imad</t>
  </si>
  <si>
    <t>Gerges</t>
  </si>
  <si>
    <t>Batoul</t>
  </si>
  <si>
    <t>Kataya</t>
  </si>
  <si>
    <t>Hicham</t>
  </si>
  <si>
    <t>Zaiter</t>
  </si>
  <si>
    <t>Bayan</t>
  </si>
  <si>
    <t>Hamdoun Alkhalaf</t>
  </si>
  <si>
    <t>Abed El Kader</t>
  </si>
  <si>
    <t>Yousfo</t>
  </si>
  <si>
    <t>Bchara</t>
  </si>
  <si>
    <t>Ghassan</t>
  </si>
  <si>
    <t>Tawk</t>
  </si>
  <si>
    <t>Abdo</t>
  </si>
  <si>
    <t>Bechara Richa</t>
  </si>
  <si>
    <t>Berfine</t>
  </si>
  <si>
    <t>Hamo</t>
  </si>
  <si>
    <t>CENG</t>
  </si>
  <si>
    <t>Bachelor of Science in Computer Engineering</t>
  </si>
  <si>
    <t>Bissan</t>
  </si>
  <si>
    <t>Wael</t>
  </si>
  <si>
    <t>70 824 314</t>
  </si>
  <si>
    <t>Bouchra</t>
  </si>
  <si>
    <t>Bryan</t>
  </si>
  <si>
    <t>Simon</t>
  </si>
  <si>
    <t>Zaklit</t>
  </si>
  <si>
    <t>Caitlen</t>
  </si>
  <si>
    <t>Fares</t>
  </si>
  <si>
    <t>Carelle</t>
  </si>
  <si>
    <t>Al Khoueiry</t>
  </si>
  <si>
    <t>Caren</t>
  </si>
  <si>
    <t>Jihad</t>
  </si>
  <si>
    <t>Brayteh</t>
  </si>
  <si>
    <t>Carine</t>
  </si>
  <si>
    <t>Hajj Hassan</t>
  </si>
  <si>
    <t>IMGT</t>
  </si>
  <si>
    <t>Bachelor of Business Administration in International Business Management</t>
  </si>
  <si>
    <t>Carl</t>
  </si>
  <si>
    <t>Al Aaraj</t>
  </si>
  <si>
    <t>Carla</t>
  </si>
  <si>
    <t>Youssef</t>
  </si>
  <si>
    <t>Aslanian</t>
  </si>
  <si>
    <t>Yervant</t>
  </si>
  <si>
    <t>Caryne</t>
  </si>
  <si>
    <t>Sadek</t>
  </si>
  <si>
    <t>Fakhreddine</t>
  </si>
  <si>
    <t>TESL</t>
  </si>
  <si>
    <t>Bachelor of Education in Teaching English as a Second Language</t>
  </si>
  <si>
    <t>Catalina</t>
  </si>
  <si>
    <t>Al Hourany</t>
  </si>
  <si>
    <t>Catherine</t>
  </si>
  <si>
    <t>Mounir</t>
  </si>
  <si>
    <t>El Haiby</t>
  </si>
  <si>
    <t>Cedra</t>
  </si>
  <si>
    <t>Basam</t>
  </si>
  <si>
    <t>Ghafarje</t>
  </si>
  <si>
    <t>Celena</t>
  </si>
  <si>
    <t>Celine</t>
  </si>
  <si>
    <t>Abou Nader</t>
  </si>
  <si>
    <t>Bachour</t>
  </si>
  <si>
    <t>BHTM</t>
  </si>
  <si>
    <t>Bachelor of Business Administration in Hospitality and Tourism Management</t>
  </si>
  <si>
    <t>Hosep</t>
  </si>
  <si>
    <t>Bakalian</t>
  </si>
  <si>
    <t>BBAF</t>
  </si>
  <si>
    <t>Bachelor of Business Administration - Financial Sciences Concentration</t>
  </si>
  <si>
    <t>Elkhoury</t>
  </si>
  <si>
    <t>Arakel</t>
  </si>
  <si>
    <t>Ohannessian</t>
  </si>
  <si>
    <t>Chafic</t>
  </si>
  <si>
    <t>Tanios</t>
  </si>
  <si>
    <t>Nouaime</t>
  </si>
  <si>
    <t>Chahed</t>
  </si>
  <si>
    <t>Chantal</t>
  </si>
  <si>
    <t>Al Khawli</t>
  </si>
  <si>
    <t>ADVR</t>
  </si>
  <si>
    <t>Bachelor of Arts in Communication Arts - Advertising</t>
  </si>
  <si>
    <t>Spring  2023 - 2024</t>
  </si>
  <si>
    <t>Al Raii</t>
  </si>
  <si>
    <t>Gaby</t>
  </si>
  <si>
    <t>Awad</t>
  </si>
  <si>
    <t>Fahed</t>
  </si>
  <si>
    <t>Rabih</t>
  </si>
  <si>
    <t>Bou Zeidan Al Rehbany</t>
  </si>
  <si>
    <t>Botros</t>
  </si>
  <si>
    <t>Chaaya</t>
  </si>
  <si>
    <t>El Ghossein</t>
  </si>
  <si>
    <t>Salem</t>
  </si>
  <si>
    <t>Ghantous</t>
  </si>
  <si>
    <t>Miled</t>
  </si>
  <si>
    <t>Hakim</t>
  </si>
  <si>
    <t>Rony</t>
  </si>
  <si>
    <t>Harfouch</t>
  </si>
  <si>
    <t>Manuel</t>
  </si>
  <si>
    <t>Jabrayan</t>
  </si>
  <si>
    <t>Jean Piere</t>
  </si>
  <si>
    <t>Markous</t>
  </si>
  <si>
    <t>Miran</t>
  </si>
  <si>
    <t>Maroun</t>
  </si>
  <si>
    <t>Matar</t>
  </si>
  <si>
    <t>Mattar</t>
  </si>
  <si>
    <t>Nehme</t>
  </si>
  <si>
    <t>Spring  2021 - 2022</t>
  </si>
  <si>
    <t>Rizkallah</t>
  </si>
  <si>
    <t>Akram</t>
  </si>
  <si>
    <t>Saad</t>
  </si>
  <si>
    <t>Johnny</t>
  </si>
  <si>
    <t>Saghbiny</t>
  </si>
  <si>
    <t>Zwein</t>
  </si>
  <si>
    <t>Chloe</t>
  </si>
  <si>
    <t>Chris</t>
  </si>
  <si>
    <t>Al Saikaly</t>
  </si>
  <si>
    <t>BCSCI</t>
  </si>
  <si>
    <t>Bachelor of Computer Science</t>
  </si>
  <si>
    <t>Saliba</t>
  </si>
  <si>
    <t>Chriselda</t>
  </si>
  <si>
    <t>Hayek</t>
  </si>
  <si>
    <t>Chrisitne</t>
  </si>
  <si>
    <t>Christ</t>
  </si>
  <si>
    <t>Kekej Adourian</t>
  </si>
  <si>
    <t>Christelle</t>
  </si>
  <si>
    <t>Abi Nassif</t>
  </si>
  <si>
    <t>Vasken</t>
  </si>
  <si>
    <t>Bedrossian</t>
  </si>
  <si>
    <t>Christen</t>
  </si>
  <si>
    <t>Sabbagh</t>
  </si>
  <si>
    <t>Christian</t>
  </si>
  <si>
    <t>Bazz</t>
  </si>
  <si>
    <t>Rached</t>
  </si>
  <si>
    <t>Christina</t>
  </si>
  <si>
    <t>Antounian</t>
  </si>
  <si>
    <t>Maher</t>
  </si>
  <si>
    <t>Daou</t>
  </si>
  <si>
    <t>Sarkis</t>
  </si>
  <si>
    <t>Haroutiounian</t>
  </si>
  <si>
    <t>Christine</t>
  </si>
  <si>
    <t>Hamid</t>
  </si>
  <si>
    <t>Soukiassian</t>
  </si>
  <si>
    <t>Summer  2022 - 2023</t>
  </si>
  <si>
    <t>Christo</t>
  </si>
  <si>
    <t>Dany</t>
  </si>
  <si>
    <t>Robert</t>
  </si>
  <si>
    <t>Christophe</t>
  </si>
  <si>
    <t>Al Issa</t>
  </si>
  <si>
    <t>Christopher</t>
  </si>
  <si>
    <t>Hachem</t>
  </si>
  <si>
    <t>Rostom</t>
  </si>
  <si>
    <t>Hagopian</t>
  </si>
  <si>
    <t>Christy</t>
  </si>
  <si>
    <t>Novo</t>
  </si>
  <si>
    <t>Clara</t>
  </si>
  <si>
    <t>Farah</t>
  </si>
  <si>
    <t>Khairallah</t>
  </si>
  <si>
    <t>JOUR</t>
  </si>
  <si>
    <t>Bachelor of Arts in Communication Arts - Journalism</t>
  </si>
  <si>
    <t>Clarissa</t>
  </si>
  <si>
    <t>Kassem</t>
  </si>
  <si>
    <t>Clarita</t>
  </si>
  <si>
    <t>Fayez</t>
  </si>
  <si>
    <t>Al Saghbini</t>
  </si>
  <si>
    <t>El Hawa</t>
  </si>
  <si>
    <t>Claritta</t>
  </si>
  <si>
    <t>Tony</t>
  </si>
  <si>
    <t>Cybele</t>
  </si>
  <si>
    <t>Cynthia</t>
  </si>
  <si>
    <t>Hanno</t>
  </si>
  <si>
    <t>Raffi</t>
  </si>
  <si>
    <t>Markarian</t>
  </si>
  <si>
    <t>Dalia</t>
  </si>
  <si>
    <t>Dana</t>
  </si>
  <si>
    <t>Chady</t>
  </si>
  <si>
    <t>Chawraba</t>
  </si>
  <si>
    <t>Moustafa</t>
  </si>
  <si>
    <t>Daniel</t>
  </si>
  <si>
    <t>Ghraizi</t>
  </si>
  <si>
    <t>Summer  2020 - 2021</t>
  </si>
  <si>
    <t>Daniella</t>
  </si>
  <si>
    <t>El Haddad</t>
  </si>
  <si>
    <t>Khaldoun</t>
  </si>
  <si>
    <t>Abdelkhalek</t>
  </si>
  <si>
    <t>David</t>
  </si>
  <si>
    <t>Antoun</t>
  </si>
  <si>
    <t>Dayen</t>
  </si>
  <si>
    <t>Wazen</t>
  </si>
  <si>
    <t>Despina</t>
  </si>
  <si>
    <t>Rimon</t>
  </si>
  <si>
    <t>Al Kawkabany</t>
  </si>
  <si>
    <t>Dia</t>
  </si>
  <si>
    <t>Baydoun</t>
  </si>
  <si>
    <t>CHED</t>
  </si>
  <si>
    <t>Bachelor of Education in Early Childhood Education</t>
  </si>
  <si>
    <t>Diana</t>
  </si>
  <si>
    <t>Medlej</t>
  </si>
  <si>
    <t>Dilano</t>
  </si>
  <si>
    <t>Wahballah</t>
  </si>
  <si>
    <t>Robil</t>
  </si>
  <si>
    <t>Dima</t>
  </si>
  <si>
    <t>Hikmat</t>
  </si>
  <si>
    <t>Cheaib</t>
  </si>
  <si>
    <t>Dounia</t>
  </si>
  <si>
    <t>Eddy</t>
  </si>
  <si>
    <t>Dabourian</t>
  </si>
  <si>
    <t>Missak</t>
  </si>
  <si>
    <t>Dakarmanjian</t>
  </si>
  <si>
    <t>Elena</t>
  </si>
  <si>
    <t>Edeyan</t>
  </si>
  <si>
    <t>Zaki</t>
  </si>
  <si>
    <t>Kazzaz</t>
  </si>
  <si>
    <t>Elia</t>
  </si>
  <si>
    <t>Nicolas</t>
  </si>
  <si>
    <t>Bou Sleiman</t>
  </si>
  <si>
    <t>Eliana</t>
  </si>
  <si>
    <t>Raad</t>
  </si>
  <si>
    <t>Al Achkar</t>
  </si>
  <si>
    <t>Al Haddad</t>
  </si>
  <si>
    <t>Assaf</t>
  </si>
  <si>
    <t>Hanna</t>
  </si>
  <si>
    <t>El Murr</t>
  </si>
  <si>
    <t>Antoin</t>
  </si>
  <si>
    <t>Mtanios</t>
  </si>
  <si>
    <t>Ghosn</t>
  </si>
  <si>
    <t>Nicholas</t>
  </si>
  <si>
    <t>Matta</t>
  </si>
  <si>
    <t>Abi Chebel</t>
  </si>
  <si>
    <t>Fady</t>
  </si>
  <si>
    <t>Abou Chahine</t>
  </si>
  <si>
    <t>Demiane</t>
  </si>
  <si>
    <t>El Alam</t>
  </si>
  <si>
    <t>Jean</t>
  </si>
  <si>
    <t>Fakhry</t>
  </si>
  <si>
    <t>Habche</t>
  </si>
  <si>
    <t>Lahoud</t>
  </si>
  <si>
    <t>Najjar</t>
  </si>
  <si>
    <t>Richard</t>
  </si>
  <si>
    <t>Obeid</t>
  </si>
  <si>
    <t>Saade</t>
  </si>
  <si>
    <t>Mikhael</t>
  </si>
  <si>
    <t>Elio</t>
  </si>
  <si>
    <t>Marcel</t>
  </si>
  <si>
    <t>Al Kahali</t>
  </si>
  <si>
    <t>Elissa</t>
  </si>
  <si>
    <t>Nassar</t>
  </si>
  <si>
    <t>Houssein</t>
  </si>
  <si>
    <t>Tay</t>
  </si>
  <si>
    <t>Elsa</t>
  </si>
  <si>
    <t>Barakat Rahmeh</t>
  </si>
  <si>
    <t>Elssa</t>
  </si>
  <si>
    <t>Camille</t>
  </si>
  <si>
    <t>Elsy</t>
  </si>
  <si>
    <t>Homsi</t>
  </si>
  <si>
    <t>Elya</t>
  </si>
  <si>
    <t>Boutros</t>
  </si>
  <si>
    <t>Emile</t>
  </si>
  <si>
    <t>Khalil</t>
  </si>
  <si>
    <t>Emmanuelle</t>
  </si>
  <si>
    <t>Iskandar</t>
  </si>
  <si>
    <t>Ammanouil</t>
  </si>
  <si>
    <t>PREL</t>
  </si>
  <si>
    <t>Bachelor of Arts in Communication Arts - Public Relations</t>
  </si>
  <si>
    <t>Erika</t>
  </si>
  <si>
    <t>Younes</t>
  </si>
  <si>
    <t>Esthere</t>
  </si>
  <si>
    <t>Andre</t>
  </si>
  <si>
    <t>Haber</t>
  </si>
  <si>
    <t>Ata</t>
  </si>
  <si>
    <t>Atwi</t>
  </si>
  <si>
    <t>Ziade</t>
  </si>
  <si>
    <t>Fatima</t>
  </si>
  <si>
    <t>Al Hek</t>
  </si>
  <si>
    <t>Issam</t>
  </si>
  <si>
    <t>Ramadan</t>
  </si>
  <si>
    <t>Zeinddine</t>
  </si>
  <si>
    <t>Fidaa</t>
  </si>
  <si>
    <t>Fidan</t>
  </si>
  <si>
    <t>Farouk</t>
  </si>
  <si>
    <t>Ghanem</t>
  </si>
  <si>
    <t>Francesco</t>
  </si>
  <si>
    <t>Francois</t>
  </si>
  <si>
    <t>Abi Karam</t>
  </si>
  <si>
    <t>Frederic</t>
  </si>
  <si>
    <t>Al Ahmar</t>
  </si>
  <si>
    <t>Frida</t>
  </si>
  <si>
    <t>Razzouk</t>
  </si>
  <si>
    <t>Gabriel</t>
  </si>
  <si>
    <t>Marwan</t>
  </si>
  <si>
    <t>Gaelle</t>
  </si>
  <si>
    <t>Geryes</t>
  </si>
  <si>
    <t>Abi Khers</t>
  </si>
  <si>
    <t>Spiro</t>
  </si>
  <si>
    <t>Sajian</t>
  </si>
  <si>
    <t>Garen</t>
  </si>
  <si>
    <t>Nazareth</t>
  </si>
  <si>
    <t>Bahnasilian</t>
  </si>
  <si>
    <t>Bedros</t>
  </si>
  <si>
    <t>Boyadjian</t>
  </si>
  <si>
    <t>Zareh</t>
  </si>
  <si>
    <t>Boyajian</t>
  </si>
  <si>
    <t>Vagharshag</t>
  </si>
  <si>
    <t>Houssigian</t>
  </si>
  <si>
    <t>Nercessian</t>
  </si>
  <si>
    <t>SoFR</t>
  </si>
  <si>
    <t>FRAL</t>
  </si>
  <si>
    <t>Freshman - Arts</t>
  </si>
  <si>
    <t>Garine</t>
  </si>
  <si>
    <t>Joulfayan</t>
  </si>
  <si>
    <t>Garo</t>
  </si>
  <si>
    <t>Keork</t>
  </si>
  <si>
    <t>Mawaian</t>
  </si>
  <si>
    <t>Tavitian</t>
  </si>
  <si>
    <t>Garo Roy</t>
  </si>
  <si>
    <t>Colian</t>
  </si>
  <si>
    <t>Gars</t>
  </si>
  <si>
    <t>Khatchig</t>
  </si>
  <si>
    <t>Kelian</t>
  </si>
  <si>
    <t>Vahe</t>
  </si>
  <si>
    <t>Manoukian</t>
  </si>
  <si>
    <t>Gary</t>
  </si>
  <si>
    <t>Varoujan</t>
  </si>
  <si>
    <t>Dekermenjian</t>
  </si>
  <si>
    <t>Gary Karo</t>
  </si>
  <si>
    <t>Bachkjian</t>
  </si>
  <si>
    <t>Alkhouri</t>
  </si>
  <si>
    <t>Froussine</t>
  </si>
  <si>
    <t>Levonian</t>
  </si>
  <si>
    <t>Milad</t>
  </si>
  <si>
    <t>Wehbe</t>
  </si>
  <si>
    <t>Abou Fares</t>
  </si>
  <si>
    <t>Nawfal</t>
  </si>
  <si>
    <t>Georgette</t>
  </si>
  <si>
    <t>Fakhoury</t>
  </si>
  <si>
    <t>Georgio</t>
  </si>
  <si>
    <t>El Hachem</t>
  </si>
  <si>
    <t>Toni</t>
  </si>
  <si>
    <t>El Hossni</t>
  </si>
  <si>
    <t>Geovani</t>
  </si>
  <si>
    <t>Al Bitar</t>
  </si>
  <si>
    <t>Ghadi</t>
  </si>
  <si>
    <t>Mitri</t>
  </si>
  <si>
    <t>Ghady</t>
  </si>
  <si>
    <t>Bou Rjeily</t>
  </si>
  <si>
    <t>Ghena</t>
  </si>
  <si>
    <t>Naeem</t>
  </si>
  <si>
    <t>Zailaa</t>
  </si>
  <si>
    <t>Ghiwa</t>
  </si>
  <si>
    <t>Haroon</t>
  </si>
  <si>
    <t>Eskandar</t>
  </si>
  <si>
    <t>Gloria</t>
  </si>
  <si>
    <t>Gorune</t>
  </si>
  <si>
    <t>Grace</t>
  </si>
  <si>
    <t>Khandjian</t>
  </si>
  <si>
    <t>Vatche</t>
  </si>
  <si>
    <t>Greg</t>
  </si>
  <si>
    <t>Sevadjian</t>
  </si>
  <si>
    <t>Guya</t>
  </si>
  <si>
    <t>Tarabay</t>
  </si>
  <si>
    <t>Habib</t>
  </si>
  <si>
    <t>Kozhaya</t>
  </si>
  <si>
    <t>Laham</t>
  </si>
  <si>
    <t>Hady</t>
  </si>
  <si>
    <t>Hagop Aram</t>
  </si>
  <si>
    <t>Aram</t>
  </si>
  <si>
    <t>Mafakian</t>
  </si>
  <si>
    <t>Hanan</t>
  </si>
  <si>
    <t>Aziz</t>
  </si>
  <si>
    <t>Nour El Dine</t>
  </si>
  <si>
    <t>Abi Hussein</t>
  </si>
  <si>
    <t>Hanine</t>
  </si>
  <si>
    <t>Fala</t>
  </si>
  <si>
    <t>Harout</t>
  </si>
  <si>
    <t>Sarkissian</t>
  </si>
  <si>
    <t>Khalifeh</t>
  </si>
  <si>
    <t>Iyad</t>
  </si>
  <si>
    <t>Blaybel</t>
  </si>
  <si>
    <t>Khoder</t>
  </si>
  <si>
    <t>Driss</t>
  </si>
  <si>
    <t>Hassib</t>
  </si>
  <si>
    <t>Helena</t>
  </si>
  <si>
    <t>El Khalil</t>
  </si>
  <si>
    <t>Keshishian</t>
  </si>
  <si>
    <t>Carlos</t>
  </si>
  <si>
    <t>Hiba</t>
  </si>
  <si>
    <t>Hussain</t>
  </si>
  <si>
    <t>Al Jasem</t>
  </si>
  <si>
    <t>Houthaifa</t>
  </si>
  <si>
    <t>Al Monla</t>
  </si>
  <si>
    <t>Hovsep</t>
  </si>
  <si>
    <t>Assadour</t>
  </si>
  <si>
    <t>Hrag</t>
  </si>
  <si>
    <t>Zawen</t>
  </si>
  <si>
    <t>Astourian</t>
  </si>
  <si>
    <t>Iskendar</t>
  </si>
  <si>
    <t>Kosbekian</t>
  </si>
  <si>
    <t>Sahe</t>
  </si>
  <si>
    <t>Sahag</t>
  </si>
  <si>
    <t>Tashjian</t>
  </si>
  <si>
    <t>Walid</t>
  </si>
  <si>
    <t>Aljassem</t>
  </si>
  <si>
    <t>Safwan</t>
  </si>
  <si>
    <t>Mourshid</t>
  </si>
  <si>
    <t>Al Hayek</t>
  </si>
  <si>
    <t>Al Shihabi</t>
  </si>
  <si>
    <t>Bayram</t>
  </si>
  <si>
    <t>Mohsen</t>
  </si>
  <si>
    <t>Rahmeh</t>
  </si>
  <si>
    <t>Iman</t>
  </si>
  <si>
    <t>Chamas</t>
  </si>
  <si>
    <t>Haroutioun</t>
  </si>
  <si>
    <t>Avedikian</t>
  </si>
  <si>
    <t>Nazarian</t>
  </si>
  <si>
    <t>Jacob</t>
  </si>
  <si>
    <t>Mher</t>
  </si>
  <si>
    <t>Baboukjian</t>
  </si>
  <si>
    <t>Jad</t>
  </si>
  <si>
    <t>Barakat</t>
  </si>
  <si>
    <t>Chouman</t>
  </si>
  <si>
    <t>Seifeddine</t>
  </si>
  <si>
    <t>Sleiman</t>
  </si>
  <si>
    <t>Jana</t>
  </si>
  <si>
    <t>Al Sokhon</t>
  </si>
  <si>
    <t>Jason</t>
  </si>
  <si>
    <t>Stephan</t>
  </si>
  <si>
    <t>Jawad</t>
  </si>
  <si>
    <t>Nadim</t>
  </si>
  <si>
    <t>Fakher Eldin</t>
  </si>
  <si>
    <t>Jean Christ</t>
  </si>
  <si>
    <t>Abou Haydar</t>
  </si>
  <si>
    <t>Jean Michel</t>
  </si>
  <si>
    <t>Jean Paul</t>
  </si>
  <si>
    <t>Najib</t>
  </si>
  <si>
    <t>Jean Pierre</t>
  </si>
  <si>
    <t>Jennifer</t>
  </si>
  <si>
    <t>Roger</t>
  </si>
  <si>
    <t>Al Asswad</t>
  </si>
  <si>
    <t>Al Beayni</t>
  </si>
  <si>
    <t>El Asmar</t>
  </si>
  <si>
    <t>Hassoun</t>
  </si>
  <si>
    <t>Jessica</t>
  </si>
  <si>
    <t>Bou Khalil</t>
  </si>
  <si>
    <t>Mardiros</t>
  </si>
  <si>
    <t>Jiguerian</t>
  </si>
  <si>
    <t>Zeitoun</t>
  </si>
  <si>
    <t>Jessicaa</t>
  </si>
  <si>
    <t>Nassim</t>
  </si>
  <si>
    <t>Jimmy</t>
  </si>
  <si>
    <t>Mrad</t>
  </si>
  <si>
    <t>Jinan</t>
  </si>
  <si>
    <t>Omar</t>
  </si>
  <si>
    <t>Alfayad</t>
  </si>
  <si>
    <t>Jinane</t>
  </si>
  <si>
    <t>Joe</t>
  </si>
  <si>
    <t>Abou Ezzi</t>
  </si>
  <si>
    <t>Alfred</t>
  </si>
  <si>
    <t>Akar</t>
  </si>
  <si>
    <t>Luka</t>
  </si>
  <si>
    <t>SURV</t>
  </si>
  <si>
    <t>Bachelor of Science in Surveying Engineering</t>
  </si>
  <si>
    <t>Dib</t>
  </si>
  <si>
    <t>Joelle</t>
  </si>
  <si>
    <t>Sader</t>
  </si>
  <si>
    <t>Summer  2021 - 2022</t>
  </si>
  <si>
    <t>Joey</t>
  </si>
  <si>
    <t>Abdouch</t>
  </si>
  <si>
    <t>BACJO</t>
  </si>
  <si>
    <t>Bachelor of Communication Arts (Journalism)</t>
  </si>
  <si>
    <t>Summer  2024 - 2025</t>
  </si>
  <si>
    <t>Al Haber</t>
  </si>
  <si>
    <t>Saleh</t>
  </si>
  <si>
    <t>John</t>
  </si>
  <si>
    <t>Abdel Ahad</t>
  </si>
  <si>
    <t>BBAH</t>
  </si>
  <si>
    <t>Bachelor of Business Administration - Hotel and Tourism Management Concentration</t>
  </si>
  <si>
    <t>Johny</t>
  </si>
  <si>
    <t>Razmig</t>
  </si>
  <si>
    <t>Tokadjian</t>
  </si>
  <si>
    <t>Jolina</t>
  </si>
  <si>
    <t>Goubran</t>
  </si>
  <si>
    <t>BIOC</t>
  </si>
  <si>
    <t>Bachelor of Science in Biochemistry</t>
  </si>
  <si>
    <t>Jolyana</t>
  </si>
  <si>
    <t>Tishory</t>
  </si>
  <si>
    <t>Attieh</t>
  </si>
  <si>
    <t>Doumit</t>
  </si>
  <si>
    <t>Bou Nassif</t>
  </si>
  <si>
    <t>Khoueiry</t>
  </si>
  <si>
    <t>Dory</t>
  </si>
  <si>
    <t>Naddaf</t>
  </si>
  <si>
    <t>Boulos</t>
  </si>
  <si>
    <t>Josiane</t>
  </si>
  <si>
    <t>Joumana</t>
  </si>
  <si>
    <t>Chaker</t>
  </si>
  <si>
    <t>BMATH</t>
  </si>
  <si>
    <t>Bachelor of Mathematics</t>
  </si>
  <si>
    <t>Joy</t>
  </si>
  <si>
    <t>Bassel</t>
  </si>
  <si>
    <t>Bassil</t>
  </si>
  <si>
    <t>Nakhleh</t>
  </si>
  <si>
    <t>Joya</t>
  </si>
  <si>
    <t>Al Kahwaji</t>
  </si>
  <si>
    <t>Joyce</t>
  </si>
  <si>
    <t>Amary</t>
  </si>
  <si>
    <t>Avakian</t>
  </si>
  <si>
    <t>BTEFL</t>
  </si>
  <si>
    <t>Bachelor of Teaching English as a Foreign Language</t>
  </si>
  <si>
    <t>Watche</t>
  </si>
  <si>
    <t>Awedisian</t>
  </si>
  <si>
    <t>Zakour</t>
  </si>
  <si>
    <t>Julian</t>
  </si>
  <si>
    <t>Juliana</t>
  </si>
  <si>
    <t>Houssam</t>
  </si>
  <si>
    <t>Haddam</t>
  </si>
  <si>
    <t>Moubarak</t>
  </si>
  <si>
    <t>Sebaaly</t>
  </si>
  <si>
    <t>Julien</t>
  </si>
  <si>
    <t>Reaidy</t>
  </si>
  <si>
    <t>Kadria</t>
  </si>
  <si>
    <t>Rima</t>
  </si>
  <si>
    <t>Shahoud</t>
  </si>
  <si>
    <t>Karem</t>
  </si>
  <si>
    <t>Karen</t>
  </si>
  <si>
    <t>Abi Haydar</t>
  </si>
  <si>
    <t>Wissam</t>
  </si>
  <si>
    <t>Hajj Youssef</t>
  </si>
  <si>
    <t>El Akl</t>
  </si>
  <si>
    <t>Saab</t>
  </si>
  <si>
    <t>Karine</t>
  </si>
  <si>
    <t>Hajenian</t>
  </si>
  <si>
    <t>BIOL</t>
  </si>
  <si>
    <t>Bachelor of Science in Biology</t>
  </si>
  <si>
    <t>Levon</t>
  </si>
  <si>
    <t>Topjian</t>
  </si>
  <si>
    <t>Karl</t>
  </si>
  <si>
    <t>Mark</t>
  </si>
  <si>
    <t>Karod Chahen</t>
  </si>
  <si>
    <t>Savag</t>
  </si>
  <si>
    <t>Chamelian</t>
  </si>
  <si>
    <t>Kegham</t>
  </si>
  <si>
    <t>Alexan</t>
  </si>
  <si>
    <t>Ashjian</t>
  </si>
  <si>
    <t>Kelly</t>
  </si>
  <si>
    <t>Vicken</t>
  </si>
  <si>
    <t>Mikhaelian</t>
  </si>
  <si>
    <t>Kevin</t>
  </si>
  <si>
    <t>Chebel</t>
  </si>
  <si>
    <t>Rahme</t>
  </si>
  <si>
    <t>Ephrem</t>
  </si>
  <si>
    <t>Tannoury</t>
  </si>
  <si>
    <t>Khajag</t>
  </si>
  <si>
    <t>Bakjaji</t>
  </si>
  <si>
    <t>Almutlak</t>
  </si>
  <si>
    <t>Cherro</t>
  </si>
  <si>
    <t>Klarita</t>
  </si>
  <si>
    <t>Dimitri</t>
  </si>
  <si>
    <t>Stefanou</t>
  </si>
  <si>
    <t>Minassian</t>
  </si>
  <si>
    <t>Laith</t>
  </si>
  <si>
    <t>Nouraldine</t>
  </si>
  <si>
    <t>Lama</t>
  </si>
  <si>
    <t>Fakher El Din</t>
  </si>
  <si>
    <t>Kalakesh</t>
  </si>
  <si>
    <t>BEE</t>
  </si>
  <si>
    <t>Bachelor in  Basic Education - English</t>
  </si>
  <si>
    <t>Lamice</t>
  </si>
  <si>
    <t>Diab</t>
  </si>
  <si>
    <t>Hamza</t>
  </si>
  <si>
    <t>Lamisse</t>
  </si>
  <si>
    <t>Merdas</t>
  </si>
  <si>
    <t>Lamita</t>
  </si>
  <si>
    <t>Nohra</t>
  </si>
  <si>
    <t>Nemer</t>
  </si>
  <si>
    <t>Lamitta</t>
  </si>
  <si>
    <t>Gebran</t>
  </si>
  <si>
    <t>Lana</t>
  </si>
  <si>
    <t>Alyounes</t>
  </si>
  <si>
    <t>Lara</t>
  </si>
  <si>
    <t>Al Arab</t>
  </si>
  <si>
    <t>Fakhri Al Arabi</t>
  </si>
  <si>
    <t>Lava</t>
  </si>
  <si>
    <t>Baker</t>
  </si>
  <si>
    <t>Cheikho</t>
  </si>
  <si>
    <t>Laya</t>
  </si>
  <si>
    <t>Layal</t>
  </si>
  <si>
    <t>Abdel Khalek</t>
  </si>
  <si>
    <t>Layane</t>
  </si>
  <si>
    <t>Layla</t>
  </si>
  <si>
    <t>Faez</t>
  </si>
  <si>
    <t>Halal</t>
  </si>
  <si>
    <t>Lea</t>
  </si>
  <si>
    <t>Al Sebaaly</t>
  </si>
  <si>
    <t>Mateos</t>
  </si>
  <si>
    <t>Baghamian</t>
  </si>
  <si>
    <t>Chehade</t>
  </si>
  <si>
    <t>Jassar</t>
  </si>
  <si>
    <t>Radwan</t>
  </si>
  <si>
    <t>Zeayter</t>
  </si>
  <si>
    <t>Leelava</t>
  </si>
  <si>
    <t>Loqman</t>
  </si>
  <si>
    <t>Almidany</t>
  </si>
  <si>
    <t>Lewaa</t>
  </si>
  <si>
    <t>Arabi</t>
  </si>
  <si>
    <t>Lianna</t>
  </si>
  <si>
    <t>Meshak</t>
  </si>
  <si>
    <t>Hazarabedian</t>
  </si>
  <si>
    <t>Lila</t>
  </si>
  <si>
    <t>Sarhad</t>
  </si>
  <si>
    <t>Makdessian</t>
  </si>
  <si>
    <t>BACAD</t>
  </si>
  <si>
    <t>Bachelor of Communication Arts (Advertising)</t>
  </si>
  <si>
    <t>Liwaa</t>
  </si>
  <si>
    <t>Wajdi</t>
  </si>
  <si>
    <t>Al Dibes</t>
  </si>
  <si>
    <t>Louay</t>
  </si>
  <si>
    <t>Zneit</t>
  </si>
  <si>
    <t>Louie</t>
  </si>
  <si>
    <t>Louis</t>
  </si>
  <si>
    <t>Tenn</t>
  </si>
  <si>
    <t>Luciana Serly</t>
  </si>
  <si>
    <t>Diratsouyan</t>
  </si>
  <si>
    <t>Luz Maria</t>
  </si>
  <si>
    <t>Lynn</t>
  </si>
  <si>
    <t>Berro</t>
  </si>
  <si>
    <t>Bouonok El Bejjani</t>
  </si>
  <si>
    <t>Damen</t>
  </si>
  <si>
    <t>Kaddour</t>
  </si>
  <si>
    <t>Lynne</t>
  </si>
  <si>
    <t>Mabelle</t>
  </si>
  <si>
    <t>Halim</t>
  </si>
  <si>
    <t>Naim</t>
  </si>
  <si>
    <t>Yarak</t>
  </si>
  <si>
    <t>Maggie</t>
  </si>
  <si>
    <t>Abi Kamel</t>
  </si>
  <si>
    <t>Maha</t>
  </si>
  <si>
    <t>Shehazi</t>
  </si>
  <si>
    <t>Mehsen</t>
  </si>
  <si>
    <t>Al Dibs</t>
  </si>
  <si>
    <t>Shawa</t>
  </si>
  <si>
    <t>Maickel</t>
  </si>
  <si>
    <t>Bou Issa</t>
  </si>
  <si>
    <t>Majd</t>
  </si>
  <si>
    <t>Al Kazzaz</t>
  </si>
  <si>
    <t>Al Murr</t>
  </si>
  <si>
    <t>Slim</t>
  </si>
  <si>
    <t>Majed</t>
  </si>
  <si>
    <t>Mohamed Khaled</t>
  </si>
  <si>
    <t>Elazak</t>
  </si>
  <si>
    <t>Malek</t>
  </si>
  <si>
    <t>Salim</t>
  </si>
  <si>
    <t>Al Dana</t>
  </si>
  <si>
    <t>Manuella</t>
  </si>
  <si>
    <t>Khater</t>
  </si>
  <si>
    <t>Marc</t>
  </si>
  <si>
    <t>Mouawad</t>
  </si>
  <si>
    <t>Marguerita</t>
  </si>
  <si>
    <t>Ziad</t>
  </si>
  <si>
    <t>El Khoury</t>
  </si>
  <si>
    <t>Marguerite</t>
  </si>
  <si>
    <t>Maria</t>
  </si>
  <si>
    <t>Arrouk</t>
  </si>
  <si>
    <t>Mourice</t>
  </si>
  <si>
    <t>Chamoun</t>
  </si>
  <si>
    <t>Chedrawi</t>
  </si>
  <si>
    <t>BBIOC</t>
  </si>
  <si>
    <t>Bachelor of Biochemisrty</t>
  </si>
  <si>
    <t>Deaibess</t>
  </si>
  <si>
    <t>Ohaness</t>
  </si>
  <si>
    <t>Dekermendjian</t>
  </si>
  <si>
    <t>Henry</t>
  </si>
  <si>
    <t>Ayoub</t>
  </si>
  <si>
    <t>El Haber</t>
  </si>
  <si>
    <t>Farha</t>
  </si>
  <si>
    <t>Kanaan</t>
  </si>
  <si>
    <t>Makhoul</t>
  </si>
  <si>
    <t>Rizk</t>
  </si>
  <si>
    <t>Maria Vegonia</t>
  </si>
  <si>
    <t>Challita</t>
  </si>
  <si>
    <t>Mariam</t>
  </si>
  <si>
    <t>Hajj Houssein</t>
  </si>
  <si>
    <t>Marie Jose</t>
  </si>
  <si>
    <t>Felfoul</t>
  </si>
  <si>
    <t>FDST</t>
  </si>
  <si>
    <t>Bachelor of Science in Food Science Technology</t>
  </si>
  <si>
    <t>Marie Therese</t>
  </si>
  <si>
    <t>Remond</t>
  </si>
  <si>
    <t>Abou Samra</t>
  </si>
  <si>
    <t>Mariebelle</t>
  </si>
  <si>
    <t>Remon</t>
  </si>
  <si>
    <t>Marielle</t>
  </si>
  <si>
    <t>Marineh</t>
  </si>
  <si>
    <t>Garbis</t>
  </si>
  <si>
    <t>Pamboukian</t>
  </si>
  <si>
    <t>Mario</t>
  </si>
  <si>
    <t>Amin</t>
  </si>
  <si>
    <t>Aswad</t>
  </si>
  <si>
    <t>Tohme</t>
  </si>
  <si>
    <t>Maritta</t>
  </si>
  <si>
    <t>Saadeh</t>
  </si>
  <si>
    <t>Kordian</t>
  </si>
  <si>
    <t>Gebrayel</t>
  </si>
  <si>
    <t>Marwa</t>
  </si>
  <si>
    <t>Abdel Latif</t>
  </si>
  <si>
    <t>Ahmad Said</t>
  </si>
  <si>
    <t>Mary</t>
  </si>
  <si>
    <t>Rabay</t>
  </si>
  <si>
    <t>Mary Antoinette</t>
  </si>
  <si>
    <t>Marycibelle</t>
  </si>
  <si>
    <t>Marylin</t>
  </si>
  <si>
    <t>Marylynn</t>
  </si>
  <si>
    <t>Ajabahian</t>
  </si>
  <si>
    <t>Mayda</t>
  </si>
  <si>
    <t>Mayelle</t>
  </si>
  <si>
    <t>El Khoury Hanna</t>
  </si>
  <si>
    <t>BBAE</t>
  </si>
  <si>
    <t>Bachelor of Business Administration - Economics Concentration</t>
  </si>
  <si>
    <t>Meghety</t>
  </si>
  <si>
    <t>Meghry</t>
  </si>
  <si>
    <t>Gulumian</t>
  </si>
  <si>
    <t>Tarpinian</t>
  </si>
  <si>
    <t>Mehieddine</t>
  </si>
  <si>
    <t>Nakhlaoui</t>
  </si>
  <si>
    <t>Melissa</t>
  </si>
  <si>
    <t>Victor</t>
  </si>
  <si>
    <t>Fayad</t>
  </si>
  <si>
    <t>Roukoz</t>
  </si>
  <si>
    <t>Nakad</t>
  </si>
  <si>
    <t>Chahoud</t>
  </si>
  <si>
    <t>Mia</t>
  </si>
  <si>
    <t>Mia Rita</t>
  </si>
  <si>
    <t>Khattar</t>
  </si>
  <si>
    <t>Michael</t>
  </si>
  <si>
    <t>Mhanna</t>
  </si>
  <si>
    <t>Al Khoury Hanna</t>
  </si>
  <si>
    <t>Haddad</t>
  </si>
  <si>
    <t>Raymond</t>
  </si>
  <si>
    <t>Michelle</t>
  </si>
  <si>
    <t>Bou Rached</t>
  </si>
  <si>
    <t>Mira</t>
  </si>
  <si>
    <t>Paul</t>
  </si>
  <si>
    <t>Mireille</t>
  </si>
  <si>
    <t>Jemmo</t>
  </si>
  <si>
    <t>Mirella</t>
  </si>
  <si>
    <t>Moufid</t>
  </si>
  <si>
    <t>Abdel Sater</t>
  </si>
  <si>
    <t>Mirella Ursula</t>
  </si>
  <si>
    <t>Onikian</t>
  </si>
  <si>
    <t>Miriam</t>
  </si>
  <si>
    <t>Khacheryan</t>
  </si>
  <si>
    <t>Wajih</t>
  </si>
  <si>
    <t>Al Selo</t>
  </si>
  <si>
    <t>Alheraki</t>
  </si>
  <si>
    <t>Daaboul</t>
  </si>
  <si>
    <t>Korhani</t>
  </si>
  <si>
    <t>Mohamad Noah</t>
  </si>
  <si>
    <t>Chmayssani</t>
  </si>
  <si>
    <t>Hallal</t>
  </si>
  <si>
    <t>Mohammad Bachir</t>
  </si>
  <si>
    <t>Aawwad</t>
  </si>
  <si>
    <t>Mohammad Walid</t>
  </si>
  <si>
    <t>Molia</t>
  </si>
  <si>
    <t>Wraydane</t>
  </si>
  <si>
    <t>Mossig</t>
  </si>
  <si>
    <t>Dordolian</t>
  </si>
  <si>
    <t>MATH</t>
  </si>
  <si>
    <t>Bachelor of Science in Mathematics</t>
  </si>
  <si>
    <t>Morel</t>
  </si>
  <si>
    <t>Kelendjian</t>
  </si>
  <si>
    <t>Mouhamad</t>
  </si>
  <si>
    <t>Elsahmarani</t>
  </si>
  <si>
    <t>Mouhannad</t>
  </si>
  <si>
    <t>Hamcho</t>
  </si>
  <si>
    <t>Mustafa</t>
  </si>
  <si>
    <t>Al Mahamid</t>
  </si>
  <si>
    <t>Nada</t>
  </si>
  <si>
    <t>Osman</t>
  </si>
  <si>
    <t>Nadine</t>
  </si>
  <si>
    <t>Kamal</t>
  </si>
  <si>
    <t>Hallani</t>
  </si>
  <si>
    <t>Naiim</t>
  </si>
  <si>
    <t>Nancy</t>
  </si>
  <si>
    <t>Harik</t>
  </si>
  <si>
    <t>Fadil</t>
  </si>
  <si>
    <t>Yasser</t>
  </si>
  <si>
    <t>Skaff</t>
  </si>
  <si>
    <t>Nanor</t>
  </si>
  <si>
    <t>Kojayan</t>
  </si>
  <si>
    <t>Otouzbrian Dit Avedissian</t>
  </si>
  <si>
    <t>Nareg</t>
  </si>
  <si>
    <t>Antablian</t>
  </si>
  <si>
    <t>Maneul</t>
  </si>
  <si>
    <t>Kazanjian</t>
  </si>
  <si>
    <t>Sebouh</t>
  </si>
  <si>
    <t>Natasha</t>
  </si>
  <si>
    <t>Geagea</t>
  </si>
  <si>
    <t>Nathany</t>
  </si>
  <si>
    <t>Bou Chaaya</t>
  </si>
  <si>
    <t>Nawal</t>
  </si>
  <si>
    <t>Al Kassouf</t>
  </si>
  <si>
    <t>Nay</t>
  </si>
  <si>
    <t>El Kesserwany</t>
  </si>
  <si>
    <t>Nayef</t>
  </si>
  <si>
    <t>Haydar</t>
  </si>
  <si>
    <t>Nerson</t>
  </si>
  <si>
    <t>Abrilian</t>
  </si>
  <si>
    <t>Newart</t>
  </si>
  <si>
    <t>Izmirlian</t>
  </si>
  <si>
    <t>Nijad</t>
  </si>
  <si>
    <t>Haydar Ahmad</t>
  </si>
  <si>
    <t>Nina</t>
  </si>
  <si>
    <t>Ghobrine</t>
  </si>
  <si>
    <t>Nour</t>
  </si>
  <si>
    <t>Abi Nader</t>
  </si>
  <si>
    <t>Shirad</t>
  </si>
  <si>
    <t>Al Heck</t>
  </si>
  <si>
    <t>Chahine</t>
  </si>
  <si>
    <t>Chaiban</t>
  </si>
  <si>
    <t>Shaaya</t>
  </si>
  <si>
    <t>Dagher</t>
  </si>
  <si>
    <t>Sobh</t>
  </si>
  <si>
    <t>Sukkar</t>
  </si>
  <si>
    <t>Odette</t>
  </si>
  <si>
    <t>Artinian</t>
  </si>
  <si>
    <t>Oliver</t>
  </si>
  <si>
    <t>Bandar</t>
  </si>
  <si>
    <t>Lebbos</t>
  </si>
  <si>
    <t>Al Jawich</t>
  </si>
  <si>
    <t>BCSIT</t>
  </si>
  <si>
    <t>Bachelor of Information Technology</t>
  </si>
  <si>
    <t>Al Kachmar</t>
  </si>
  <si>
    <t>Ovannes</t>
  </si>
  <si>
    <t>Hallajian</t>
  </si>
  <si>
    <t>Palig</t>
  </si>
  <si>
    <t>Boghossian</t>
  </si>
  <si>
    <t>Mahigian</t>
  </si>
  <si>
    <t>Pamela</t>
  </si>
  <si>
    <t>BACPR</t>
  </si>
  <si>
    <t>Bachelor of Communication Arts (Public Relations)</t>
  </si>
  <si>
    <t>Patil</t>
  </si>
  <si>
    <t>Margaros</t>
  </si>
  <si>
    <t>Demirdjian</t>
  </si>
  <si>
    <t>Dergarabedian</t>
  </si>
  <si>
    <t>Rafi</t>
  </si>
  <si>
    <t>Sahaguian</t>
  </si>
  <si>
    <t>Patile</t>
  </si>
  <si>
    <t>Awedissian</t>
  </si>
  <si>
    <t>Patimiana</t>
  </si>
  <si>
    <t>Al Breidy</t>
  </si>
  <si>
    <t>Paulina</t>
  </si>
  <si>
    <t>Raymon</t>
  </si>
  <si>
    <t>Perla</t>
  </si>
  <si>
    <t>Rita</t>
  </si>
  <si>
    <t>Oughourlian</t>
  </si>
  <si>
    <t>Peter</t>
  </si>
  <si>
    <t>Al Sayegh</t>
  </si>
  <si>
    <t>Arsen</t>
  </si>
  <si>
    <t>Bozikian</t>
  </si>
  <si>
    <t>El Hasrouty</t>
  </si>
  <si>
    <t>Philippe</t>
  </si>
  <si>
    <t>Pia</t>
  </si>
  <si>
    <t>Adjemian</t>
  </si>
  <si>
    <t>CSIT</t>
  </si>
  <si>
    <t>Bachelor of Science in Information Technology</t>
  </si>
  <si>
    <t>Al Mohamad</t>
  </si>
  <si>
    <t>Arbache</t>
  </si>
  <si>
    <t>Chmeis</t>
  </si>
  <si>
    <t>Ramadan Faraj Khalifa</t>
  </si>
  <si>
    <t>Kreir</t>
  </si>
  <si>
    <t>Merhi</t>
  </si>
  <si>
    <t>Rachad</t>
  </si>
  <si>
    <t>Zeineddine</t>
  </si>
  <si>
    <t>Sheikh Ahmed</t>
  </si>
  <si>
    <t>Al Khouri</t>
  </si>
  <si>
    <t>Ralf</t>
  </si>
  <si>
    <t>Nemnom</t>
  </si>
  <si>
    <t>Ralph</t>
  </si>
  <si>
    <t>Amirkhan</t>
  </si>
  <si>
    <t>Bastermaji</t>
  </si>
  <si>
    <t>Mallak</t>
  </si>
  <si>
    <t>Ralph Anthony</t>
  </si>
  <si>
    <t>Mikaelian</t>
  </si>
  <si>
    <t>Al Boustani</t>
  </si>
  <si>
    <t>Randa Jermie</t>
  </si>
  <si>
    <t>TRNS</t>
  </si>
  <si>
    <t>Bachelor of Translation and Interpretation</t>
  </si>
  <si>
    <t>Rania</t>
  </si>
  <si>
    <t>Haitham</t>
  </si>
  <si>
    <t>Al Hajj Hussein</t>
  </si>
  <si>
    <t>Ranim</t>
  </si>
  <si>
    <t>Haj Hassan</t>
  </si>
  <si>
    <t>Ranime</t>
  </si>
  <si>
    <t>Massaad</t>
  </si>
  <si>
    <t>Rawane</t>
  </si>
  <si>
    <t>Basset</t>
  </si>
  <si>
    <t>Rawna</t>
  </si>
  <si>
    <t>Yousef</t>
  </si>
  <si>
    <t>Aldinar</t>
  </si>
  <si>
    <t>Rayan</t>
  </si>
  <si>
    <t>Husseini</t>
  </si>
  <si>
    <t>Rayane</t>
  </si>
  <si>
    <t>Sahmarani</t>
  </si>
  <si>
    <t>Fram Missak</t>
  </si>
  <si>
    <t>Derpilibossian</t>
  </si>
  <si>
    <t>Spring  2014 - 2015</t>
  </si>
  <si>
    <t>Rebecca</t>
  </si>
  <si>
    <t>Gilbert</t>
  </si>
  <si>
    <t>Reem</t>
  </si>
  <si>
    <t>Abou Ghaddara</t>
  </si>
  <si>
    <t>Regina</t>
  </si>
  <si>
    <t>Reine</t>
  </si>
  <si>
    <t>Alsaad</t>
  </si>
  <si>
    <t>Reine Awatef</t>
  </si>
  <si>
    <t>Ikab</t>
  </si>
  <si>
    <t>Baalbaki</t>
  </si>
  <si>
    <t>Renee Deidre</t>
  </si>
  <si>
    <t>Rim</t>
  </si>
  <si>
    <t>Jalal</t>
  </si>
  <si>
    <t>Fakih</t>
  </si>
  <si>
    <t>Shahine</t>
  </si>
  <si>
    <t>Abou Nasser</t>
  </si>
  <si>
    <t>Yeghya</t>
  </si>
  <si>
    <t>Joubanian</t>
  </si>
  <si>
    <t>Zakharia</t>
  </si>
  <si>
    <t>Mouheb Sadek Rizk</t>
  </si>
  <si>
    <t>Shehate</t>
  </si>
  <si>
    <t>Roberto</t>
  </si>
  <si>
    <t>Rbeiz</t>
  </si>
  <si>
    <t>Rodolph</t>
  </si>
  <si>
    <t>Nakhle</t>
  </si>
  <si>
    <t>Rodrigue</t>
  </si>
  <si>
    <t>Roni</t>
  </si>
  <si>
    <t>Anbar</t>
  </si>
  <si>
    <t>BSBENG</t>
  </si>
  <si>
    <t>Bachelor of Science in Biomedical Engineering</t>
  </si>
  <si>
    <t>Abi Abdallah</t>
  </si>
  <si>
    <t>Rouba</t>
  </si>
  <si>
    <t>Amhaz</t>
  </si>
  <si>
    <t>Roudi</t>
  </si>
  <si>
    <t>Marten</t>
  </si>
  <si>
    <t>Jhjh</t>
  </si>
  <si>
    <t>Roudy</t>
  </si>
  <si>
    <t>Bou Assi</t>
  </si>
  <si>
    <t>Roudyne</t>
  </si>
  <si>
    <t>Abou Haidar</t>
  </si>
  <si>
    <t>Roupina</t>
  </si>
  <si>
    <t>Shady</t>
  </si>
  <si>
    <t>Allous</t>
  </si>
  <si>
    <t>Roy</t>
  </si>
  <si>
    <t>Costantine</t>
  </si>
  <si>
    <t>Karam</t>
  </si>
  <si>
    <t>Richa</t>
  </si>
  <si>
    <t>Zreik</t>
  </si>
  <si>
    <t>Ruby</t>
  </si>
  <si>
    <t>Andraos</t>
  </si>
  <si>
    <t>El Skaf</t>
  </si>
  <si>
    <t>Rudy</t>
  </si>
  <si>
    <t>Ruweida</t>
  </si>
  <si>
    <t>Albraidi</t>
  </si>
  <si>
    <t>Ryan</t>
  </si>
  <si>
    <t>El Dib</t>
  </si>
  <si>
    <t>Sabine</t>
  </si>
  <si>
    <t>Sabrine</t>
  </si>
  <si>
    <t>Al Hor</t>
  </si>
  <si>
    <t>Sacha</t>
  </si>
  <si>
    <t>Safi</t>
  </si>
  <si>
    <t>Al Zein</t>
  </si>
  <si>
    <t>Salwa</t>
  </si>
  <si>
    <t>Sheikh Hasan</t>
  </si>
  <si>
    <t>Samah</t>
  </si>
  <si>
    <t>Achraf</t>
  </si>
  <si>
    <t>Samar</t>
  </si>
  <si>
    <t>Koborsy</t>
  </si>
  <si>
    <t>Mehdi</t>
  </si>
  <si>
    <t>Cheaito</t>
  </si>
  <si>
    <t>Sandra</t>
  </si>
  <si>
    <t>Mazhar</t>
  </si>
  <si>
    <t>Al Abed</t>
  </si>
  <si>
    <t>Sandy</t>
  </si>
  <si>
    <t>Moujahed</t>
  </si>
  <si>
    <t>El Sayed</t>
  </si>
  <si>
    <t>Mayad</t>
  </si>
  <si>
    <t>Sandy Christy</t>
  </si>
  <si>
    <t>El Helou</t>
  </si>
  <si>
    <t>Sara</t>
  </si>
  <si>
    <t>Arabian</t>
  </si>
  <si>
    <t>Nasim</t>
  </si>
  <si>
    <t>Sarah</t>
  </si>
  <si>
    <t>Chekri</t>
  </si>
  <si>
    <t>Al Attal</t>
  </si>
  <si>
    <t>El Shabib</t>
  </si>
  <si>
    <t>Zammar</t>
  </si>
  <si>
    <t>Sarine</t>
  </si>
  <si>
    <t>Apraham</t>
  </si>
  <si>
    <t>Demirgian</t>
  </si>
  <si>
    <t>BEM</t>
  </si>
  <si>
    <t>Bachelor in  Basic Education - Mathematics</t>
  </si>
  <si>
    <t>Kurkdjian</t>
  </si>
  <si>
    <t>Nerses</t>
  </si>
  <si>
    <t>Tashdjian</t>
  </si>
  <si>
    <t>Sayde</t>
  </si>
  <si>
    <t>Madi</t>
  </si>
  <si>
    <t>Sayde Carmel</t>
  </si>
  <si>
    <t>Seana</t>
  </si>
  <si>
    <t>Sedra</t>
  </si>
  <si>
    <t>Alsaadi</t>
  </si>
  <si>
    <t>Selena</t>
  </si>
  <si>
    <t>Al Rawady</t>
  </si>
  <si>
    <t>Sella</t>
  </si>
  <si>
    <t>Sako</t>
  </si>
  <si>
    <t>Kazangian</t>
  </si>
  <si>
    <t>Sella Berjouk</t>
  </si>
  <si>
    <t>Basmajian</t>
  </si>
  <si>
    <t>Selly</t>
  </si>
  <si>
    <t>Hovig</t>
  </si>
  <si>
    <t>Tchaparian</t>
  </si>
  <si>
    <t>Sentia</t>
  </si>
  <si>
    <t>Kachichian</t>
  </si>
  <si>
    <t>Seraj</t>
  </si>
  <si>
    <t>Rahy</t>
  </si>
  <si>
    <t>Serge</t>
  </si>
  <si>
    <t>Al Feghali</t>
  </si>
  <si>
    <t>Jederian</t>
  </si>
  <si>
    <t>Hrayr</t>
  </si>
  <si>
    <t>Joumjian</t>
  </si>
  <si>
    <t>Raffy</t>
  </si>
  <si>
    <t>Saboundjian</t>
  </si>
  <si>
    <t>Sergio</t>
  </si>
  <si>
    <t>Serine</t>
  </si>
  <si>
    <t>Al Oraiby</t>
  </si>
  <si>
    <t>Serj</t>
  </si>
  <si>
    <t>Jirair</t>
  </si>
  <si>
    <t>Kazezian</t>
  </si>
  <si>
    <t>Serly</t>
  </si>
  <si>
    <t>Karageozian</t>
  </si>
  <si>
    <t>Keufteyan</t>
  </si>
  <si>
    <t>Sabounjian</t>
  </si>
  <si>
    <t>Sevag</t>
  </si>
  <si>
    <t>Antarnikian</t>
  </si>
  <si>
    <t>Chilingirian</t>
  </si>
  <si>
    <t>Sevag Vahram</t>
  </si>
  <si>
    <t>Karageuzian</t>
  </si>
  <si>
    <t>Shant</t>
  </si>
  <si>
    <t>Hratch</t>
  </si>
  <si>
    <t>Missirian</t>
  </si>
  <si>
    <t>Shayla</t>
  </si>
  <si>
    <t>Shelsea</t>
  </si>
  <si>
    <t>Sibelle</t>
  </si>
  <si>
    <t>Ramzi</t>
  </si>
  <si>
    <t>Rameh</t>
  </si>
  <si>
    <t>Sidra</t>
  </si>
  <si>
    <t>Rachid</t>
  </si>
  <si>
    <t>Slaybe</t>
  </si>
  <si>
    <t>Rafic</t>
  </si>
  <si>
    <t>Sophie</t>
  </si>
  <si>
    <t>Stephanie</t>
  </si>
  <si>
    <t>Ohan</t>
  </si>
  <si>
    <t>Torossian</t>
  </si>
  <si>
    <t>Stephany</t>
  </si>
  <si>
    <t>Karo</t>
  </si>
  <si>
    <t>Atajian</t>
  </si>
  <si>
    <t>Steve</t>
  </si>
  <si>
    <t>Stepan</t>
  </si>
  <si>
    <t>Steven</t>
  </si>
  <si>
    <t>Subhi</t>
  </si>
  <si>
    <t>Dibou</t>
  </si>
  <si>
    <t>Taimaa</t>
  </si>
  <si>
    <t>Al Khoder</t>
  </si>
  <si>
    <t>Takla</t>
  </si>
  <si>
    <t>Garabedian</t>
  </si>
  <si>
    <t>Talar</t>
  </si>
  <si>
    <t>Boroyan</t>
  </si>
  <si>
    <t>Kendirjian</t>
  </si>
  <si>
    <t>Tossounian</t>
  </si>
  <si>
    <t>Talia</t>
  </si>
  <si>
    <t>Kazandjian</t>
  </si>
  <si>
    <t>Tatiana</t>
  </si>
  <si>
    <t>Abou Sleiman</t>
  </si>
  <si>
    <t>Estephan</t>
  </si>
  <si>
    <t>Fayssal</t>
  </si>
  <si>
    <t>Theresa</t>
  </si>
  <si>
    <t>Theresia</t>
  </si>
  <si>
    <t>Abdelnour</t>
  </si>
  <si>
    <t>Tia</t>
  </si>
  <si>
    <t>Touma</t>
  </si>
  <si>
    <t>Tila</t>
  </si>
  <si>
    <t>Bambekian</t>
  </si>
  <si>
    <t>Tina</t>
  </si>
  <si>
    <t>Bachaalany</t>
  </si>
  <si>
    <t>Katrib</t>
  </si>
  <si>
    <t>Khoury Hanna</t>
  </si>
  <si>
    <t>Tracy</t>
  </si>
  <si>
    <t>Tro Hovsep</t>
  </si>
  <si>
    <t>Kounjian</t>
  </si>
  <si>
    <t>Tsoler</t>
  </si>
  <si>
    <t>Atokan</t>
  </si>
  <si>
    <t>Tsolere</t>
  </si>
  <si>
    <t>Ara</t>
  </si>
  <si>
    <t>Kodjaoghlanian</t>
  </si>
  <si>
    <t>Tya</t>
  </si>
  <si>
    <t>Azar</t>
  </si>
  <si>
    <t>Vana</t>
  </si>
  <si>
    <t>Vanessa</t>
  </si>
  <si>
    <t>Abou Assaly</t>
  </si>
  <si>
    <t>Diran</t>
  </si>
  <si>
    <t>Berberian</t>
  </si>
  <si>
    <t>Vitaly</t>
  </si>
  <si>
    <t>Mouradian</t>
  </si>
  <si>
    <t>Vreij</t>
  </si>
  <si>
    <t>Waed</t>
  </si>
  <si>
    <t>Shamseddine</t>
  </si>
  <si>
    <t>Mohamed Elgamal Mohamed</t>
  </si>
  <si>
    <t>Ammar</t>
  </si>
  <si>
    <t>Yara</t>
  </si>
  <si>
    <t>Salah</t>
  </si>
  <si>
    <t>El Aref</t>
  </si>
  <si>
    <t>Yasmin</t>
  </si>
  <si>
    <t>Mohamed Saad Tahawy</t>
  </si>
  <si>
    <t>Yasmina</t>
  </si>
  <si>
    <t>Kinan</t>
  </si>
  <si>
    <t>Yorgo</t>
  </si>
  <si>
    <t>Machak</t>
  </si>
  <si>
    <t>Abi Nakhoul</t>
  </si>
  <si>
    <t>Bilal</t>
  </si>
  <si>
    <t>Hijazi</t>
  </si>
  <si>
    <t>Zakiya</t>
  </si>
  <si>
    <t>Zein Alabeden</t>
  </si>
  <si>
    <t>Khaddam</t>
  </si>
  <si>
    <t>Zeina</t>
  </si>
  <si>
    <t>Maan</t>
  </si>
  <si>
    <t>Zila</t>
  </si>
  <si>
    <t>Leon</t>
  </si>
  <si>
    <t>Abdoian</t>
  </si>
  <si>
    <t>Zakhia</t>
  </si>
  <si>
    <t>graduate</t>
  </si>
  <si>
    <t>MEENG</t>
  </si>
  <si>
    <t>Masters of Science in Electrical Engineering</t>
  </si>
  <si>
    <t>Abdullah</t>
  </si>
  <si>
    <t>Najde</t>
  </si>
  <si>
    <t>MMENG</t>
  </si>
  <si>
    <t>Masters of Science in Mechanical Engineering</t>
  </si>
  <si>
    <t>MCCE</t>
  </si>
  <si>
    <t>Masters of Science in Computer and Communications Engineering</t>
  </si>
  <si>
    <t>Anahid</t>
  </si>
  <si>
    <t>Nalbandian</t>
  </si>
  <si>
    <t>TDLA</t>
  </si>
  <si>
    <t>Teaching Diploma in Languages</t>
  </si>
  <si>
    <t>Anie</t>
  </si>
  <si>
    <t>Anna Maria</t>
  </si>
  <si>
    <t>Breidy</t>
  </si>
  <si>
    <t>Antonella</t>
  </si>
  <si>
    <t>Antonios</t>
  </si>
  <si>
    <t>Antony</t>
  </si>
  <si>
    <t>Wasim</t>
  </si>
  <si>
    <t>Bou Habib</t>
  </si>
  <si>
    <t>Bouthaina</t>
  </si>
  <si>
    <t>Rajeh</t>
  </si>
  <si>
    <t>Aridi</t>
  </si>
  <si>
    <t>Viken</t>
  </si>
  <si>
    <t>Najarian</t>
  </si>
  <si>
    <t>Cesar</t>
  </si>
  <si>
    <t>Youssef Yaacoub</t>
  </si>
  <si>
    <t>Chaalane</t>
  </si>
  <si>
    <t>Al Khawly</t>
  </si>
  <si>
    <t>MSURV</t>
  </si>
  <si>
    <t>Masters of Science in Surveying Engineering</t>
  </si>
  <si>
    <t>Jreich</t>
  </si>
  <si>
    <t>Abou Rouphael El Hoayek</t>
  </si>
  <si>
    <t>Alam</t>
  </si>
  <si>
    <t>Khawand</t>
  </si>
  <si>
    <t>Atef</t>
  </si>
  <si>
    <t>Succar</t>
  </si>
  <si>
    <t>Hadchity</t>
  </si>
  <si>
    <t>Salameh</t>
  </si>
  <si>
    <t>MBA</t>
  </si>
  <si>
    <t>Master of Business Administration</t>
  </si>
  <si>
    <t>Cyrille</t>
  </si>
  <si>
    <t>Jasser</t>
  </si>
  <si>
    <t>Alkhatib</t>
  </si>
  <si>
    <t>Wakim</t>
  </si>
  <si>
    <t>Demien</t>
  </si>
  <si>
    <t>Bteich</t>
  </si>
  <si>
    <t>Dimitrios</t>
  </si>
  <si>
    <t>Abboud</t>
  </si>
  <si>
    <t>Al Khoury</t>
  </si>
  <si>
    <t>Elay</t>
  </si>
  <si>
    <t>Rayess</t>
  </si>
  <si>
    <t>Berkachy</t>
  </si>
  <si>
    <t>Charro</t>
  </si>
  <si>
    <t>Salloum</t>
  </si>
  <si>
    <t>Abou Nassif</t>
  </si>
  <si>
    <t>Edward</t>
  </si>
  <si>
    <t>Karkafi</t>
  </si>
  <si>
    <t>Al Fata</t>
  </si>
  <si>
    <t>Raafat</t>
  </si>
  <si>
    <t>Baroudy</t>
  </si>
  <si>
    <t>Emmanuel</t>
  </si>
  <si>
    <t>Serop</t>
  </si>
  <si>
    <t>Iskenderian</t>
  </si>
  <si>
    <t>Abi Raad</t>
  </si>
  <si>
    <t>Salman</t>
  </si>
  <si>
    <t>Nabil</t>
  </si>
  <si>
    <t>Shehayeb</t>
  </si>
  <si>
    <t>Jalil</t>
  </si>
  <si>
    <t>Bicandy</t>
  </si>
  <si>
    <t>Chahid</t>
  </si>
  <si>
    <t>Jreige</t>
  </si>
  <si>
    <t>MBENG</t>
  </si>
  <si>
    <t>Masters of Science in Electronic Engineering- Biomedical Engineering</t>
  </si>
  <si>
    <t>El Feghali</t>
  </si>
  <si>
    <t>Faraj</t>
  </si>
  <si>
    <t>Nader</t>
  </si>
  <si>
    <t>Guy</t>
  </si>
  <si>
    <t>Jamgochian</t>
  </si>
  <si>
    <t>Hadiya</t>
  </si>
  <si>
    <t>Nidal</t>
  </si>
  <si>
    <t>Al Ali</t>
  </si>
  <si>
    <t>Mouhammad</t>
  </si>
  <si>
    <t>Karout</t>
  </si>
  <si>
    <t>Ghazi</t>
  </si>
  <si>
    <t>Imane</t>
  </si>
  <si>
    <t>El Jamal</t>
  </si>
  <si>
    <t>Zbib</t>
  </si>
  <si>
    <t>Jamey</t>
  </si>
  <si>
    <t>Al Jamal</t>
  </si>
  <si>
    <t>Zahreddine</t>
  </si>
  <si>
    <t>Jayson</t>
  </si>
  <si>
    <t>Jean Christophe</t>
  </si>
  <si>
    <t>Al Blaty</t>
  </si>
  <si>
    <t>Moheb Sadek Rizek</t>
  </si>
  <si>
    <t>Shehateh</t>
  </si>
  <si>
    <t>TDSC</t>
  </si>
  <si>
    <t>Teaching Diploma in Sciences</t>
  </si>
  <si>
    <t>Nabhan</t>
  </si>
  <si>
    <t>Katia</t>
  </si>
  <si>
    <t>MLENG</t>
  </si>
  <si>
    <t>Masters of Science in Electronics Engineering</t>
  </si>
  <si>
    <t>Leyla</t>
  </si>
  <si>
    <t>Majeed</t>
  </si>
  <si>
    <t>Zeitouny</t>
  </si>
  <si>
    <t>Manale</t>
  </si>
  <si>
    <t>Ibrahim Ahmed Ibrahim</t>
  </si>
  <si>
    <t>Elsanee</t>
  </si>
  <si>
    <t>Zgheib</t>
  </si>
  <si>
    <t>Ziadeh</t>
  </si>
  <si>
    <t>Maysa</t>
  </si>
  <si>
    <t>Mohamad Hicham</t>
  </si>
  <si>
    <t>Alwattar</t>
  </si>
  <si>
    <t>Merhej</t>
  </si>
  <si>
    <t>Methmi</t>
  </si>
  <si>
    <t>Divianjalie P</t>
  </si>
  <si>
    <t>Thewaraya M</t>
  </si>
  <si>
    <t>Girgi</t>
  </si>
  <si>
    <t>Abou Mrad</t>
  </si>
  <si>
    <t>Sahak</t>
  </si>
  <si>
    <t>Gharibian</t>
  </si>
  <si>
    <t>Nelly</t>
  </si>
  <si>
    <t>Armen</t>
  </si>
  <si>
    <t>Nisrine</t>
  </si>
  <si>
    <t>Wadih</t>
  </si>
  <si>
    <t>Boustani</t>
  </si>
  <si>
    <t>Hamzeh</t>
  </si>
  <si>
    <t>Ghrayzie</t>
  </si>
  <si>
    <t>Oula</t>
  </si>
  <si>
    <t>MFDT</t>
  </si>
  <si>
    <t>Masters in Food Technology</t>
  </si>
  <si>
    <t>Pauline</t>
  </si>
  <si>
    <t>Papken</t>
  </si>
  <si>
    <t>Atikian</t>
  </si>
  <si>
    <t>ELMM</t>
  </si>
  <si>
    <t>Masters of Education in Educational Management</t>
  </si>
  <si>
    <t>Boulous</t>
  </si>
  <si>
    <t>Rafqua</t>
  </si>
  <si>
    <t>MMIS</t>
  </si>
  <si>
    <t>Master of Business Administration in Management Information Systems</t>
  </si>
  <si>
    <t>Mohammmad</t>
  </si>
  <si>
    <t>Khashab</t>
  </si>
  <si>
    <t>Spring  2019 - 2020</t>
  </si>
  <si>
    <t>Ramy</t>
  </si>
  <si>
    <t>Ameen</t>
  </si>
  <si>
    <t>Rawad</t>
  </si>
  <si>
    <t>Wahib</t>
  </si>
  <si>
    <t>Rayya</t>
  </si>
  <si>
    <t>Alkammah</t>
  </si>
  <si>
    <t>Karameh</t>
  </si>
  <si>
    <t>MMGT</t>
  </si>
  <si>
    <t>Master of Business Administration in Management</t>
  </si>
  <si>
    <t>Rita Maria</t>
  </si>
  <si>
    <t>Al Ashi</t>
  </si>
  <si>
    <t>Romy</t>
  </si>
  <si>
    <t>Rosemary</t>
  </si>
  <si>
    <t>Fadlallah</t>
  </si>
  <si>
    <t>Tabanji</t>
  </si>
  <si>
    <t>Al Lakiss</t>
  </si>
  <si>
    <t>Salma</t>
  </si>
  <si>
    <t>Mouhanad</t>
  </si>
  <si>
    <t>Hazimeh</t>
  </si>
  <si>
    <t>Sam</t>
  </si>
  <si>
    <t>Al Nayef</t>
  </si>
  <si>
    <t>Al Shami</t>
  </si>
  <si>
    <t>Mekhael</t>
  </si>
  <si>
    <t>Awadis</t>
  </si>
  <si>
    <t>Kasbarian</t>
  </si>
  <si>
    <t>Panos</t>
  </si>
  <si>
    <t>Koujanian</t>
  </si>
  <si>
    <t>Elhajj</t>
  </si>
  <si>
    <t>Mardiross</t>
  </si>
  <si>
    <t>Yahanian</t>
  </si>
  <si>
    <t>TEPM</t>
  </si>
  <si>
    <t>Bachelor of Education in Teacher Education (Physics - Mathematics)</t>
  </si>
  <si>
    <t>Dori</t>
  </si>
  <si>
    <t>Akiki Dit Mazraani</t>
  </si>
  <si>
    <t>Botrous</t>
  </si>
  <si>
    <t>Varant</t>
  </si>
  <si>
    <t>Nashalian</t>
  </si>
  <si>
    <t>Al Amil</t>
  </si>
  <si>
    <t>Tauk</t>
  </si>
  <si>
    <t>Yves</t>
  </si>
  <si>
    <t>El Otayek</t>
  </si>
  <si>
    <t>Zakar</t>
  </si>
  <si>
    <t>Zakarian</t>
  </si>
  <si>
    <t>MECO</t>
  </si>
  <si>
    <t>Master of Business Administration in Financial Economics</t>
  </si>
  <si>
    <t>Akkar</t>
  </si>
  <si>
    <t>Merheb</t>
  </si>
  <si>
    <t>FRESL</t>
  </si>
  <si>
    <t>Freshman - Sciences</t>
  </si>
  <si>
    <t>Taleb</t>
  </si>
  <si>
    <t>Oussama</t>
  </si>
  <si>
    <t>BTENG</t>
  </si>
  <si>
    <t>Bachelor of Science in Communications Engineering</t>
  </si>
  <si>
    <t>Al Tahan</t>
  </si>
  <si>
    <t>Ismail</t>
  </si>
  <si>
    <t>Charif</t>
  </si>
  <si>
    <t>Maamoun</t>
  </si>
  <si>
    <t>Naous</t>
  </si>
  <si>
    <t>MFIN</t>
  </si>
  <si>
    <t>Master of Business Administration in Finance</t>
  </si>
  <si>
    <t>Leen</t>
  </si>
  <si>
    <t>Margueritta</t>
  </si>
  <si>
    <t>Nazih</t>
  </si>
  <si>
    <t>Khalaf</t>
  </si>
  <si>
    <t>Mouriss</t>
  </si>
  <si>
    <t>Koussa</t>
  </si>
  <si>
    <t>Jawhar</t>
  </si>
  <si>
    <t>El Zein</t>
  </si>
  <si>
    <t>Fall  2016 - 2017</t>
  </si>
  <si>
    <t>Mohamad Abdlhalim</t>
  </si>
  <si>
    <t>Dannawi</t>
  </si>
  <si>
    <t>Rafka</t>
  </si>
  <si>
    <t>Zidan</t>
  </si>
  <si>
    <t>Sana</t>
  </si>
  <si>
    <t>Bashour</t>
  </si>
  <si>
    <t>Dekes</t>
  </si>
  <si>
    <t>Aida</t>
  </si>
  <si>
    <t>Bekaa</t>
  </si>
  <si>
    <t>Btiech</t>
  </si>
  <si>
    <t>Rayak</t>
  </si>
  <si>
    <t>Saida</t>
  </si>
  <si>
    <t>Shucair</t>
  </si>
  <si>
    <t>Carlen</t>
  </si>
  <si>
    <t>Nahra</t>
  </si>
  <si>
    <t>Nabatieh</t>
  </si>
  <si>
    <t>Ebtihal</t>
  </si>
  <si>
    <t>Mounjed</t>
  </si>
  <si>
    <t>Georges Michael</t>
  </si>
  <si>
    <t>Safatly</t>
  </si>
  <si>
    <t>Tripoli</t>
  </si>
  <si>
    <t>Ghazalah</t>
  </si>
  <si>
    <t>Guy Angelo</t>
  </si>
  <si>
    <t>Bou Doumit</t>
  </si>
  <si>
    <t>Houry</t>
  </si>
  <si>
    <t>Slaimen</t>
  </si>
  <si>
    <t>Hutheife</t>
  </si>
  <si>
    <t>Al Sheikh Ali</t>
  </si>
  <si>
    <t>Nasrdeen</t>
  </si>
  <si>
    <t>Semann</t>
  </si>
  <si>
    <t>Jihan</t>
  </si>
  <si>
    <t>Kachkach</t>
  </si>
  <si>
    <t>Alkhoury</t>
  </si>
  <si>
    <t>Joulie</t>
  </si>
  <si>
    <t>Zaher Aldeen</t>
  </si>
  <si>
    <t>Alshaykho</t>
  </si>
  <si>
    <t>Jounaid</t>
  </si>
  <si>
    <t>Salam</t>
  </si>
  <si>
    <t>Kantar</t>
  </si>
  <si>
    <t>Kholoud</t>
  </si>
  <si>
    <t>Salha</t>
  </si>
  <si>
    <t>Kattan</t>
  </si>
  <si>
    <t>Leticia</t>
  </si>
  <si>
    <t>Lorena</t>
  </si>
  <si>
    <t>Ajaka</t>
  </si>
  <si>
    <t>Tyre</t>
  </si>
  <si>
    <t>Magy</t>
  </si>
  <si>
    <t>Bou Serhal</t>
  </si>
  <si>
    <t>Al Turk</t>
  </si>
  <si>
    <t>Shbat</t>
  </si>
  <si>
    <t>Kabalaan</t>
  </si>
  <si>
    <t>Ziwani</t>
  </si>
  <si>
    <t>Marie Lynn</t>
  </si>
  <si>
    <t>Midia</t>
  </si>
  <si>
    <t>Mohammad Wes</t>
  </si>
  <si>
    <t>Hamme</t>
  </si>
  <si>
    <t>Moadad</t>
  </si>
  <si>
    <t>Hatoum</t>
  </si>
  <si>
    <t>Ahmad Al Sheikh</t>
  </si>
  <si>
    <t>Rabie</t>
  </si>
  <si>
    <t>Krenbi</t>
  </si>
  <si>
    <t>Aytour</t>
  </si>
  <si>
    <t>Shmaitly</t>
  </si>
  <si>
    <t>Kayan</t>
  </si>
  <si>
    <t>Tlais</t>
  </si>
  <si>
    <t>Reina</t>
  </si>
  <si>
    <t>Labib</t>
  </si>
  <si>
    <t>Dhayne</t>
  </si>
  <si>
    <t>Hajj Sleiman</t>
  </si>
  <si>
    <t>Syrine</t>
  </si>
  <si>
    <t>Ihab Hamed Khalil</t>
  </si>
  <si>
    <t>Therese</t>
  </si>
  <si>
    <t>Jelwan</t>
  </si>
  <si>
    <t>Rani</t>
  </si>
  <si>
    <t>Assir</t>
  </si>
  <si>
    <t>Wuaell Youssef</t>
  </si>
  <si>
    <t>Kehde</t>
  </si>
  <si>
    <t>% Completed + Registered</t>
  </si>
  <si>
    <t>IU Match</t>
  </si>
  <si>
    <t>IU Major can Match?</t>
  </si>
  <si>
    <t xml:space="preserve">Major exists in IU </t>
  </si>
  <si>
    <t>Major Dont exists in IU</t>
  </si>
  <si>
    <t>Bachelor of Information TechMajor Dont exists in IUlogy</t>
  </si>
  <si>
    <t>Bachelor of Food TechMajor Dont exists in IUlogy</t>
  </si>
  <si>
    <t>Bachelor of Science in Information TechMajor Dont exists in IUlogy</t>
  </si>
  <si>
    <t>Bachelor of Science in Food Science TechMajor Dont exists in IUlogy</t>
  </si>
  <si>
    <t>Bachelor of Business Administration - EcoMajor Dont exists in IUmics Concentration</t>
  </si>
  <si>
    <t>Can be transferred</t>
  </si>
  <si>
    <t>Count of AppID</t>
  </si>
  <si>
    <t>Row Labels</t>
  </si>
  <si>
    <t>Grand Total</t>
  </si>
  <si>
    <t>Can be Transferred to Bachelor of Engineering</t>
  </si>
  <si>
    <t>=&lt;50</t>
  </si>
  <si>
    <t xml:space="preserve"> </t>
  </si>
  <si>
    <t>&gt;50</t>
  </si>
  <si>
    <t>Category</t>
  </si>
  <si>
    <t># years to graduate</t>
  </si>
  <si>
    <t>Expected # Semesters to graduate</t>
  </si>
  <si>
    <t>Engineering</t>
  </si>
  <si>
    <t>School/Major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</si>
</sst>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0" fillId="0" borderId="0" xfId="0" applyAlignment="1">
      <alignment horizontal="center"/>
    </xf>
    <xf numFmtId="9" fontId="0" fillId="0" borderId="1" xfId="1" applyFont="1" applyBorder="1" applyAlignment="1">
      <alignment horizontal="center" vertical="center"/>
    </xf>
    <xf numFmtId="0" fontId="0" fillId="0" borderId="0" xfId="0" pivotButton="1"/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pivotButton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indent="2"/>
    </xf>
    <xf numFmtId="0" fontId="0" fillId="0" borderId="1" xfId="0" pivotButton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2">
    <cellStyle name="Normal" xfId="0" builtinId="0"/>
    <cellStyle name="Percent" xfId="1" builtinId="5"/>
  </cellStyles>
  <dxfs count="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wrapText="1"/>
    </dxf>
    <dxf>
      <alignment wrapText="1"/>
    </dxf>
    <dxf>
      <border>
        <left style="thin">
          <color indexed="64"/>
        </left>
        <vertical style="thin">
          <color indexed="64"/>
        </vertic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general"/>
    </dxf>
    <dxf>
      <alignment horizontal="general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san" refreshedDate="46120.321019675925" createdVersion="8" refreshedVersion="8" minRefreshableVersion="3" recordCount="777" xr:uid="{00000000-000A-0000-FFFF-FFFF02000000}">
  <cacheSource type="worksheet">
    <worksheetSource ref="A1:S778" sheet="ML Std Enrolled in ML"/>
  </cacheSource>
  <cacheFields count="19">
    <cacheField name="ID" numFmtId="0">
      <sharedItems containsSemiMixedTypes="0" containsString="0" containsNumber="1" containsInteger="1" minValue="12234912" maxValue="92430351"/>
    </cacheField>
    <cacheField name="AppID" numFmtId="0">
      <sharedItems containsSemiMixedTypes="0" containsString="0" containsNumber="1" containsInteger="1" minValue="92003" maxValue="227747"/>
    </cacheField>
    <cacheField name="First" numFmtId="0">
      <sharedItems/>
    </cacheField>
    <cacheField name="Middle" numFmtId="0">
      <sharedItems/>
    </cacheField>
    <cacheField name="Last" numFmtId="0">
      <sharedItems/>
    </cacheField>
    <cacheField name="Campus" numFmtId="0">
      <sharedItems/>
    </cacheField>
    <cacheField name="School" numFmtId="0">
      <sharedItems count="6">
        <s v="SoEN"/>
        <s v="SoAS"/>
        <s v="SoBU"/>
        <s v="SoPH"/>
        <s v="SoED"/>
        <s v="SoFR"/>
      </sharedItems>
    </cacheField>
    <cacheField name="Level" numFmtId="0">
      <sharedItems count="1">
        <s v="underGraduate"/>
      </sharedItems>
    </cacheField>
    <cacheField name="Major" numFmtId="0">
      <sharedItems count="59">
        <s v="TENG"/>
        <s v="MENG"/>
        <s v="GDES"/>
        <s v="BMKT"/>
        <s v="BBMED"/>
        <s v="CSCI"/>
        <s v="BMGT"/>
        <s v="BMIS"/>
        <s v="NUTR"/>
        <s v="BBAMIS"/>
        <s v="BFIN"/>
        <s v="BBAMG"/>
        <s v="BIDES"/>
        <s v="IENG"/>
        <s v="BMED"/>
        <s v="IDES"/>
        <s v="EENG"/>
        <s v="BAIS"/>
        <s v="LENG"/>
        <s v="BBAA"/>
        <s v="PrPH"/>
        <s v="BFDST"/>
        <s v="BBAMK"/>
        <s v="BNUTR"/>
        <s v="RTVF"/>
        <s v="BENG"/>
        <s v="BGDES"/>
        <s v="BACRT"/>
        <s v="BBIOL"/>
        <s v="CENG"/>
        <s v="IMGT"/>
        <s v="TESL"/>
        <s v="BHTM"/>
        <s v="BBAF"/>
        <s v="ADVR"/>
        <s v="BCSCI"/>
        <s v="JOUR"/>
        <s v="CHED"/>
        <s v="PREL"/>
        <s v="FRAL"/>
        <s v="SURV"/>
        <s v="BACJO"/>
        <s v="BBAH"/>
        <s v="BIOC"/>
        <s v="BMATH"/>
        <s v="BTEFL"/>
        <s v="BIOL"/>
        <s v="BEE"/>
        <s v="BACAD"/>
        <s v="BBIOC"/>
        <s v="FDST"/>
        <s v="BBAE"/>
        <s v="MATH"/>
        <s v="BCSIT"/>
        <s v="BACPR"/>
        <s v="CSIT"/>
        <s v="TRNS"/>
        <s v="BSBENG"/>
        <s v="BEM"/>
      </sharedItems>
    </cacheField>
    <cacheField name="Title" numFmtId="0">
      <sharedItems count="59">
        <s v="Bachelor of Science in Communication Engineering"/>
        <s v="Bachelor of Science in Mechanical Engineering"/>
        <s v="Bachelor of Arts in Graphic Design"/>
        <s v="Bachelor of Business Administration in Marketing"/>
        <s v="Bachelor of Biomedical Sciences"/>
        <s v="Bachelor of Science in Computer Science"/>
        <s v="Bachelor of Business Administration in Business Management"/>
        <s v="Bachelor of Business Administration in Management Information Systems"/>
        <s v="Bachelor of Science in Nutrition and Dietetics"/>
        <s v="Bachelor of Business Administration - Management of Information Systems Concentration"/>
        <s v="Bachelor of Business Administration in Banking and Finance"/>
        <s v="Bachelor of Business Administration - Business Management Concentration"/>
        <s v="Bachelor of Interior Design"/>
        <s v="Bachelor of Science in Industrial Engineering"/>
        <s v="Bachelor of Science in Biomedical Science"/>
        <s v="Bachelor of Arts in Interior Design"/>
        <s v="Bachelor of Science in Electrical Engineering"/>
        <s v="Bachelor of Business Administration in Accounting Information Systems"/>
        <s v="Bachelor of Science in Electronics Engineering"/>
        <s v="Bachelor of Business Administration - Accounting Concentration"/>
        <s v="Pre-Pharmacy"/>
        <s v="Bachelor of Food Technology"/>
        <s v="Bachelor of Business Administration - Marketing Concentration"/>
        <s v="Bachelor of Nutrition and Dietetics"/>
        <s v="Bachelor of Arts in Communication Arts - Radio and Television"/>
        <s v="Bachelor of Science in Electronic Engineering - Emphasis On Biomedical"/>
        <s v="Bachelor of Graphic Design"/>
        <s v="Bachelor of Communication Arts (Radio and Television)"/>
        <s v="Bachelor of Biology"/>
        <s v="Bachelor of Science in Computer Engineering"/>
        <s v="Bachelor of Business Administration in International Business Management"/>
        <s v="Bachelor of Education in Teaching English as a Second Language"/>
        <s v="Bachelor of Business Administration in Hospitality and Tourism Management"/>
        <s v="Bachelor of Business Administration - Financial Sciences Concentration"/>
        <s v="Bachelor of Arts in Communication Arts - Advertising"/>
        <s v="Bachelor of Computer Science"/>
        <s v="Bachelor of Arts in Communication Arts - Journalism"/>
        <s v="Bachelor of Education in Early Childhood Education"/>
        <s v="Bachelor of Arts in Communication Arts - Public Relations"/>
        <s v="Freshman - Arts"/>
        <s v="Bachelor of Science in Surveying Engineering"/>
        <s v="Bachelor of Communication Arts (Journalism)"/>
        <s v="Bachelor of Business Administration - Hotel and Tourism Management Concentration"/>
        <s v="Bachelor of Science in Biochemistry"/>
        <s v="Bachelor of Mathematics"/>
        <s v="Bachelor of Teaching English as a Foreign Language"/>
        <s v="Bachelor of Science in Biology"/>
        <s v="Bachelor in  Basic Education - English"/>
        <s v="Bachelor of Communication Arts (Advertising)"/>
        <s v="Bachelor of Biochemisrty"/>
        <s v="Bachelor of Science in Food Science Technology"/>
        <s v="Bachelor of Business Administration - Economics Concentration"/>
        <s v="Bachelor of Science in Mathematics"/>
        <s v="Bachelor of Information Technology"/>
        <s v="Bachelor of Communication Arts (Public Relations)"/>
        <s v="Bachelor of Science in Information Technology"/>
        <s v="Bachelor of Translation and Interpretation"/>
        <s v="Bachelor of Science in Biomedical Engineering"/>
        <s v="Bachelor in  Basic Education - Mathematics"/>
      </sharedItems>
    </cacheField>
    <cacheField name="IU Major can Match?" numFmtId="0">
      <sharedItems count="5">
        <s v="Can be Transferred to Bachelor of Engineering"/>
        <s v="Major exists in IU "/>
        <s v="Major Dont exists in IU"/>
        <e v="#N/A" u="1"/>
        <s v="No" u="1"/>
      </sharedItems>
    </cacheField>
    <cacheField name="Mobile" numFmtId="0">
      <sharedItems containsMixedTypes="1" containsNumber="1" containsInteger="1" minValue="3105050" maxValue="96181985302"/>
    </cacheField>
    <cacheField name="Enrolled Semester" numFmtId="0">
      <sharedItems/>
    </cacheField>
    <cacheField name="Major Credits" numFmtId="0">
      <sharedItems containsSemiMixedTypes="0" containsString="0" containsNumber="1" containsInteger="1" minValue="31" maxValue="114"/>
    </cacheField>
    <cacheField name="Completed" numFmtId="0">
      <sharedItems containsSemiMixedTypes="0" containsString="0" containsNumber="1" containsInteger="1" minValue="0" maxValue="105"/>
    </cacheField>
    <cacheField name="Reg. Credits" numFmtId="0">
      <sharedItems containsSemiMixedTypes="0" containsString="0" containsNumber="1" containsInteger="1" minValue="3" maxValue="21"/>
    </cacheField>
    <cacheField name="Left Credits" numFmtId="0">
      <sharedItems containsSemiMixedTypes="0" containsString="0" containsNumber="1" containsInteger="1" minValue="0" maxValue="119"/>
    </cacheField>
    <cacheField name="% Completed + Registered" numFmtId="9">
      <sharedItems containsSemiMixedTypes="0" containsString="0" containsNumber="1" minValue="6.4814814814814811E-2" maxValue="1.0303030303030303"/>
    </cacheField>
    <cacheField name="Can be transferred" numFmtId="0">
      <sharedItems count="4">
        <s v="&gt;50"/>
        <s v="=&lt;50"/>
        <s v="&gt;=50" u="1"/>
        <s v="&lt;5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7">
  <r>
    <n v="62130182"/>
    <n v="172787"/>
    <s v="Abbas"/>
    <s v="Raed"/>
    <s v="Mostafa"/>
    <s v="Mount Lebanon"/>
    <x v="0"/>
    <x v="0"/>
    <x v="0"/>
    <x v="0"/>
    <x v="0"/>
    <n v="76499125"/>
    <s v="Fall  2021 - 2022"/>
    <n v="108"/>
    <n v="50"/>
    <n v="14"/>
    <n v="44"/>
    <n v="0.59259259259259256"/>
    <x v="0"/>
  </r>
  <r>
    <n v="62610013"/>
    <n v="227138"/>
    <s v="Abdallah"/>
    <s v="Naser"/>
    <s v="Arab"/>
    <s v="Mount Lebanon"/>
    <x v="0"/>
    <x v="0"/>
    <x v="1"/>
    <x v="1"/>
    <x v="0"/>
    <n v="71732748"/>
    <s v="Spring  2025 - 2026"/>
    <n v="108"/>
    <n v="0"/>
    <n v="19"/>
    <n v="112"/>
    <n v="0.17592592592592593"/>
    <x v="1"/>
  </r>
  <r>
    <n v="62330246"/>
    <n v="205930"/>
    <s v="Abigail"/>
    <s v="Sami"/>
    <s v="Al Nashef"/>
    <s v="Mount Lebanon"/>
    <x v="1"/>
    <x v="0"/>
    <x v="2"/>
    <x v="2"/>
    <x v="1"/>
    <n v="96171595630"/>
    <s v="Fall  2023 - 2024"/>
    <n v="99"/>
    <n v="90"/>
    <n v="9"/>
    <n v="0"/>
    <n v="1"/>
    <x v="0"/>
  </r>
  <r>
    <n v="62130165"/>
    <n v="168811"/>
    <s v="Adam"/>
    <s v="Samir"/>
    <s v="Jaber"/>
    <s v="Mount Lebanon"/>
    <x v="2"/>
    <x v="0"/>
    <x v="3"/>
    <x v="3"/>
    <x v="1"/>
    <n v="96178747241"/>
    <s v="Fall  2021 - 2022"/>
    <n v="99"/>
    <n v="45"/>
    <n v="12"/>
    <n v="42"/>
    <n v="0.5757575757575758"/>
    <x v="0"/>
  </r>
  <r>
    <n v="62530183"/>
    <n v="223863"/>
    <s v="Adel"/>
    <s v="Samer"/>
    <s v="Al Taki"/>
    <s v="Mount Lebanon"/>
    <x v="1"/>
    <x v="0"/>
    <x v="4"/>
    <x v="4"/>
    <x v="2"/>
    <n v="96181375307"/>
    <s v="Fall  2025 - 2026"/>
    <n v="105"/>
    <n v="0"/>
    <n v="10"/>
    <n v="102"/>
    <n v="9.5238095238095233E-2"/>
    <x v="1"/>
  </r>
  <r>
    <n v="62330243"/>
    <n v="205902"/>
    <s v="Adolphe"/>
    <s v="Edgard"/>
    <s v="Sakr"/>
    <s v="Mount Lebanon"/>
    <x v="1"/>
    <x v="0"/>
    <x v="5"/>
    <x v="5"/>
    <x v="1"/>
    <n v="79132513"/>
    <s v="Fall  2023 - 2024"/>
    <n v="100"/>
    <n v="67"/>
    <n v="15"/>
    <n v="18"/>
    <n v="0.82"/>
    <x v="0"/>
  </r>
  <r>
    <n v="62330336"/>
    <n v="206361"/>
    <s v="Ahmad"/>
    <s v="Amer"/>
    <s v="Alwan"/>
    <s v="Mount Lebanon"/>
    <x v="0"/>
    <x v="0"/>
    <x v="1"/>
    <x v="1"/>
    <x v="0"/>
    <n v="96176818968"/>
    <s v="Fall  2023 - 2024"/>
    <n v="108"/>
    <n v="59"/>
    <n v="15"/>
    <n v="34"/>
    <n v="0.68518518518518523"/>
    <x v="0"/>
  </r>
  <r>
    <n v="62030284"/>
    <n v="160076"/>
    <s v="Ahmad"/>
    <s v="Ali"/>
    <s v="Fakherdine"/>
    <s v="Mount Lebanon"/>
    <x v="2"/>
    <x v="0"/>
    <x v="6"/>
    <x v="6"/>
    <x v="1"/>
    <n v="96176073579"/>
    <s v="Fall  2020 - 2021"/>
    <n v="99"/>
    <n v="72"/>
    <n v="18"/>
    <n v="9"/>
    <n v="0.90909090909090906"/>
    <x v="0"/>
  </r>
  <r>
    <n v="62430219"/>
    <n v="217796"/>
    <s v="Ahmad"/>
    <s v="Badr Eddin"/>
    <s v="Zeidan"/>
    <s v="Mount Lebanon"/>
    <x v="2"/>
    <x v="0"/>
    <x v="7"/>
    <x v="7"/>
    <x v="1"/>
    <n v="96181843690"/>
    <s v="Fall  2024 - 2025"/>
    <n v="99"/>
    <n v="12"/>
    <n v="15"/>
    <n v="72"/>
    <n v="0.27272727272727271"/>
    <x v="1"/>
  </r>
  <r>
    <n v="62430044"/>
    <n v="210658"/>
    <s v="Aisha"/>
    <s v="Ibrahim"/>
    <s v="Kamal El Dine"/>
    <s v="Mount Lebanon"/>
    <x v="1"/>
    <x v="0"/>
    <x v="8"/>
    <x v="8"/>
    <x v="2"/>
    <n v="81429822"/>
    <s v="Fall  2024 - 2025"/>
    <n v="99"/>
    <n v="52"/>
    <n v="17"/>
    <n v="30"/>
    <n v="0.69696969696969702"/>
    <x v="0"/>
  </r>
  <r>
    <n v="62430192"/>
    <n v="212234"/>
    <s v="Al Hady Ali"/>
    <s v="Elias"/>
    <s v="Deeb"/>
    <s v="Mount Lebanon"/>
    <x v="1"/>
    <x v="0"/>
    <x v="5"/>
    <x v="5"/>
    <x v="1"/>
    <n v="96181802108"/>
    <s v="Fall  2024 - 2025"/>
    <n v="100"/>
    <n v="29"/>
    <n v="15"/>
    <n v="56"/>
    <n v="0.44"/>
    <x v="1"/>
  </r>
  <r>
    <n v="62610014"/>
    <n v="227607"/>
    <s v="Alaa Eddine"/>
    <s v="Salah Eddine"/>
    <s v="Khalife"/>
    <s v="Mount Lebanon"/>
    <x v="2"/>
    <x v="0"/>
    <x v="9"/>
    <x v="9"/>
    <x v="1"/>
    <n v="96181969647"/>
    <s v="Spring  2025 - 2026"/>
    <n v="99"/>
    <n v="21"/>
    <n v="15"/>
    <n v="63"/>
    <n v="0.36363636363636365"/>
    <x v="1"/>
  </r>
  <r>
    <n v="62420004"/>
    <n v="211513"/>
    <s v="Alain"/>
    <s v="Elias"/>
    <s v="Bou Abdo"/>
    <s v="Mount Lebanon"/>
    <x v="0"/>
    <x v="0"/>
    <x v="1"/>
    <x v="1"/>
    <x v="0"/>
    <n v="96170805594"/>
    <s v="Summer  2023 - 2024"/>
    <n v="108"/>
    <n v="91"/>
    <n v="17"/>
    <n v="0"/>
    <n v="1"/>
    <x v="0"/>
  </r>
  <r>
    <n v="62430180"/>
    <n v="213381"/>
    <s v="Alain"/>
    <s v="Michel"/>
    <s v="Eid"/>
    <s v="Mount Lebanon"/>
    <x v="1"/>
    <x v="0"/>
    <x v="5"/>
    <x v="5"/>
    <x v="1"/>
    <n v="96181002949"/>
    <s v="Fall  2024 - 2025"/>
    <n v="100"/>
    <n v="44"/>
    <n v="15"/>
    <n v="41"/>
    <n v="0.59"/>
    <x v="0"/>
  </r>
  <r>
    <n v="62430138"/>
    <n v="211355"/>
    <s v="Alain"/>
    <s v="Antoine"/>
    <s v="Keyrouz"/>
    <s v="Mount Lebanon"/>
    <x v="2"/>
    <x v="0"/>
    <x v="10"/>
    <x v="10"/>
    <x v="1"/>
    <n v="96181694336"/>
    <s v="Fall  2024 - 2025"/>
    <n v="99"/>
    <n v="24"/>
    <n v="15"/>
    <n v="60"/>
    <n v="0.39393939393939392"/>
    <x v="1"/>
  </r>
  <r>
    <n v="62530211"/>
    <n v="224556"/>
    <s v="Alex"/>
    <s v="Vartan"/>
    <s v="Akbasharian"/>
    <s v="Mount Lebanon"/>
    <x v="2"/>
    <x v="0"/>
    <x v="11"/>
    <x v="11"/>
    <x v="1"/>
    <n v="81453240"/>
    <s v="Fall  2025 - 2026"/>
    <n v="99"/>
    <n v="9"/>
    <n v="12"/>
    <n v="78"/>
    <n v="0.21212121212121213"/>
    <x v="1"/>
  </r>
  <r>
    <n v="62530060"/>
    <n v="219807"/>
    <s v="Alex"/>
    <s v="Hagop"/>
    <s v="Kalayjian"/>
    <s v="Mount Lebanon"/>
    <x v="1"/>
    <x v="0"/>
    <x v="12"/>
    <x v="12"/>
    <x v="1"/>
    <n v="71978328"/>
    <s v="Fall  2025 - 2026"/>
    <n v="99"/>
    <n v="6"/>
    <n v="10"/>
    <n v="91"/>
    <n v="0.16161616161616163"/>
    <x v="1"/>
  </r>
  <r>
    <n v="62610012"/>
    <n v="227541"/>
    <s v="Alexandre"/>
    <s v="Charbel"/>
    <s v="Khalife"/>
    <s v="Mount Lebanon"/>
    <x v="0"/>
    <x v="0"/>
    <x v="13"/>
    <x v="13"/>
    <x v="0"/>
    <n v="9613705599"/>
    <s v="Spring  2025 - 2026"/>
    <n v="108"/>
    <n v="12"/>
    <n v="16"/>
    <n v="80"/>
    <n v="0.25925925925925924"/>
    <x v="1"/>
  </r>
  <r>
    <n v="62230220"/>
    <n v="188653"/>
    <s v="Alexia"/>
    <s v="Krikor"/>
    <s v="Parlakian"/>
    <s v="Mount Lebanon"/>
    <x v="1"/>
    <x v="0"/>
    <x v="14"/>
    <x v="14"/>
    <x v="2"/>
    <n v="71849182"/>
    <s v="Fall  2022 - 2023"/>
    <n v="105"/>
    <n v="84"/>
    <n v="15"/>
    <n v="6"/>
    <n v="0.94285714285714284"/>
    <x v="0"/>
  </r>
  <r>
    <n v="62430247"/>
    <n v="227224"/>
    <s v="Alexia Narine"/>
    <s v="Kevork"/>
    <s v="Korkornlian"/>
    <s v="Mount Lebanon"/>
    <x v="1"/>
    <x v="0"/>
    <x v="12"/>
    <x v="12"/>
    <x v="1"/>
    <n v="81224252"/>
    <s v="Spring  2025 - 2026"/>
    <n v="99"/>
    <n v="0"/>
    <n v="12"/>
    <n v="3"/>
    <n v="0.12121212121212122"/>
    <x v="1"/>
  </r>
  <r>
    <n v="62330334"/>
    <n v="206358"/>
    <s v="Ali"/>
    <s v="Mahmoud"/>
    <s v="Al Maoula"/>
    <s v="Mount Lebanon"/>
    <x v="0"/>
    <x v="0"/>
    <x v="1"/>
    <x v="1"/>
    <x v="0"/>
    <n v="96181890616"/>
    <s v="Fall  2023 - 2024"/>
    <n v="108"/>
    <n v="62"/>
    <n v="15"/>
    <n v="31"/>
    <n v="0.71296296296296291"/>
    <x v="0"/>
  </r>
  <r>
    <n v="62230414"/>
    <n v="195326"/>
    <s v="Ali"/>
    <s v="Hassan"/>
    <s v="Barek"/>
    <s v="Mount Lebanon"/>
    <x v="1"/>
    <x v="0"/>
    <x v="15"/>
    <x v="15"/>
    <x v="1"/>
    <n v="96170778733"/>
    <s v="Fall  2022 - 2023"/>
    <n v="99"/>
    <n v="64"/>
    <n v="10"/>
    <n v="25"/>
    <n v="0.74747474747474751"/>
    <x v="0"/>
  </r>
  <r>
    <n v="62110124"/>
    <n v="166193"/>
    <s v="Ali"/>
    <s v="Hasan"/>
    <s v="Chamass"/>
    <s v="Mount Lebanon"/>
    <x v="2"/>
    <x v="0"/>
    <x v="3"/>
    <x v="3"/>
    <x v="1"/>
    <n v="70617600"/>
    <s v="Spring  2020 - 2021"/>
    <n v="99"/>
    <n v="48"/>
    <n v="12"/>
    <n v="39"/>
    <n v="0.60606060606060608"/>
    <x v="0"/>
  </r>
  <r>
    <n v="62530119"/>
    <n v="221081"/>
    <s v="Ali"/>
    <s v="Mohamad"/>
    <s v="Fawaz"/>
    <s v="Mount Lebanon"/>
    <x v="0"/>
    <x v="0"/>
    <x v="16"/>
    <x v="16"/>
    <x v="0"/>
    <n v="96176814942"/>
    <s v="Fall  2025 - 2026"/>
    <n v="108"/>
    <n v="13"/>
    <n v="15"/>
    <n v="80"/>
    <n v="0.25925925925925924"/>
    <x v="1"/>
  </r>
  <r>
    <n v="62230290"/>
    <n v="191040"/>
    <s v="Ali"/>
    <s v="Ghaleb"/>
    <s v="Noun"/>
    <s v="Mount Lebanon"/>
    <x v="2"/>
    <x v="0"/>
    <x v="17"/>
    <x v="17"/>
    <x v="2"/>
    <n v="81356838"/>
    <s v="Fall  2022 - 2023"/>
    <n v="99"/>
    <n v="51"/>
    <n v="12"/>
    <n v="36"/>
    <n v="0.63636363636363635"/>
    <x v="0"/>
  </r>
  <r>
    <n v="62430225"/>
    <n v="213408"/>
    <s v="Ali"/>
    <s v="Tarek"/>
    <s v="Noun"/>
    <s v="Mount Lebanon"/>
    <x v="0"/>
    <x v="0"/>
    <x v="18"/>
    <x v="18"/>
    <x v="0"/>
    <n v="81297377"/>
    <s v="Fall  2024 - 2025"/>
    <n v="108"/>
    <n v="19"/>
    <n v="12"/>
    <n v="77"/>
    <n v="0.28703703703703703"/>
    <x v="1"/>
  </r>
  <r>
    <n v="62230268"/>
    <n v="189160"/>
    <s v="Ali El Hadi"/>
    <s v="Mohamad"/>
    <s v="Dandach"/>
    <s v="Mount Lebanon"/>
    <x v="1"/>
    <x v="0"/>
    <x v="5"/>
    <x v="5"/>
    <x v="1"/>
    <n v="76493266"/>
    <s v="Fall  2022 - 2023"/>
    <n v="100"/>
    <n v="69"/>
    <n v="16"/>
    <n v="15"/>
    <n v="0.85"/>
    <x v="0"/>
  </r>
  <r>
    <n v="62310025"/>
    <n v="197169"/>
    <s v="Alik"/>
    <s v="Antranik"/>
    <s v="Garabed"/>
    <s v="Mount Lebanon"/>
    <x v="1"/>
    <x v="0"/>
    <x v="2"/>
    <x v="2"/>
    <x v="1"/>
    <n v="76451793"/>
    <s v="Spring  2022 - 2023"/>
    <n v="99"/>
    <n v="66"/>
    <n v="6"/>
    <n v="27"/>
    <n v="0.72727272727272729"/>
    <x v="0"/>
  </r>
  <r>
    <n v="62330316"/>
    <n v="205843"/>
    <s v="Aline"/>
    <s v="Eyad"/>
    <s v="Alblbol"/>
    <s v="Mount Lebanon"/>
    <x v="2"/>
    <x v="0"/>
    <x v="3"/>
    <x v="3"/>
    <x v="1"/>
    <n v="70429175"/>
    <s v="Fall  2023 - 2024"/>
    <n v="99"/>
    <n v="84"/>
    <n v="15"/>
    <n v="0"/>
    <n v="1"/>
    <x v="0"/>
  </r>
  <r>
    <n v="62530141"/>
    <n v="222158"/>
    <s v="Aline"/>
    <s v="Minas"/>
    <s v="Kassounian"/>
    <s v="Mount Lebanon"/>
    <x v="2"/>
    <x v="0"/>
    <x v="19"/>
    <x v="19"/>
    <x v="2"/>
    <n v="71909524"/>
    <s v="Fall  2025 - 2026"/>
    <n v="99"/>
    <n v="0"/>
    <n v="9"/>
    <n v="90"/>
    <n v="9.0909090909090912E-2"/>
    <x v="1"/>
  </r>
  <r>
    <n v="62330286"/>
    <n v="205290"/>
    <s v="Alissa"/>
    <s v="Manouk"/>
    <s v="Ohanessian"/>
    <s v="Mount Lebanon"/>
    <x v="2"/>
    <x v="0"/>
    <x v="17"/>
    <x v="17"/>
    <x v="2"/>
    <n v="76357054"/>
    <s v="Fall  2023 - 2024"/>
    <n v="99"/>
    <n v="78"/>
    <n v="15"/>
    <n v="6"/>
    <n v="0.93939393939393945"/>
    <x v="0"/>
  </r>
  <r>
    <n v="62110101"/>
    <n v="166232"/>
    <s v="Alphred"/>
    <s v="Elie"/>
    <s v="El Hajj"/>
    <s v="Mount Lebanon"/>
    <x v="1"/>
    <x v="0"/>
    <x v="5"/>
    <x v="5"/>
    <x v="1"/>
    <n v="76308350"/>
    <s v="Spring  2020 - 2021"/>
    <n v="100"/>
    <n v="81"/>
    <n v="6"/>
    <n v="13"/>
    <n v="0.87"/>
    <x v="0"/>
  </r>
  <r>
    <n v="62530065"/>
    <n v="219803"/>
    <s v="Alya"/>
    <s v="Ali"/>
    <s v="Al Sahili"/>
    <s v="Mount Lebanon"/>
    <x v="2"/>
    <x v="0"/>
    <x v="19"/>
    <x v="19"/>
    <x v="2"/>
    <n v="96171588407"/>
    <s v="Fall  2025 - 2026"/>
    <n v="99"/>
    <n v="9"/>
    <n v="12"/>
    <n v="78"/>
    <n v="0.21212121212121213"/>
    <x v="1"/>
  </r>
  <r>
    <n v="62330146"/>
    <n v="199840"/>
    <s v="Amal"/>
    <s v="Mhamad"/>
    <s v="Al Mhamad"/>
    <s v="Mount Lebanon"/>
    <x v="1"/>
    <x v="0"/>
    <x v="15"/>
    <x v="15"/>
    <x v="1"/>
    <n v="96181026536"/>
    <s v="Fall  2023 - 2024"/>
    <n v="99"/>
    <n v="34"/>
    <n v="12"/>
    <n v="53"/>
    <n v="0.46464646464646464"/>
    <x v="1"/>
  </r>
  <r>
    <n v="62530073"/>
    <n v="221916"/>
    <s v="Andrea"/>
    <s v="Georges"/>
    <s v="Bechara"/>
    <s v="Mount Lebanon"/>
    <x v="3"/>
    <x v="0"/>
    <x v="20"/>
    <x v="20"/>
    <x v="2"/>
    <n v="76551369"/>
    <s v="Fall  2025 - 2026"/>
    <n v="65"/>
    <n v="16"/>
    <n v="16"/>
    <n v="33"/>
    <n v="0.49230769230769234"/>
    <x v="1"/>
  </r>
  <r>
    <n v="61930104"/>
    <n v="143238"/>
    <s v="Andres"/>
    <s v="Georges"/>
    <s v="Mansour"/>
    <s v="Mount Lebanon"/>
    <x v="0"/>
    <x v="0"/>
    <x v="1"/>
    <x v="1"/>
    <x v="0"/>
    <n v="96176650486"/>
    <s v="Fall  2019 - 2020"/>
    <n v="108"/>
    <n v="85"/>
    <n v="11"/>
    <n v="12"/>
    <n v="0.88888888888888884"/>
    <x v="0"/>
  </r>
  <r>
    <n v="62530176"/>
    <n v="223949"/>
    <s v="Andrew"/>
    <s v="Elias"/>
    <s v="Atallah"/>
    <s v="Mount Lebanon"/>
    <x v="1"/>
    <x v="0"/>
    <x v="21"/>
    <x v="21"/>
    <x v="2"/>
    <n v="9613669717"/>
    <s v="Fall  2025 - 2026"/>
    <n v="99"/>
    <n v="3"/>
    <n v="13"/>
    <n v="94"/>
    <n v="0.16161616161616163"/>
    <x v="1"/>
  </r>
  <r>
    <n v="62430328"/>
    <n v="216903"/>
    <s v="Angela"/>
    <s v="Rafah"/>
    <s v="Kfoury"/>
    <s v="Mount Lebanon"/>
    <x v="2"/>
    <x v="0"/>
    <x v="7"/>
    <x v="7"/>
    <x v="1"/>
    <n v="71792104"/>
    <s v="Fall  2024 - 2025"/>
    <n v="99"/>
    <n v="30"/>
    <n v="15"/>
    <n v="54"/>
    <n v="0.45454545454545453"/>
    <x v="1"/>
  </r>
  <r>
    <n v="62610022"/>
    <n v="227378"/>
    <s v="Angelina"/>
    <s v="Kamil"/>
    <s v="El Samara"/>
    <s v="Mount Lebanon"/>
    <x v="2"/>
    <x v="0"/>
    <x v="22"/>
    <x v="22"/>
    <x v="1"/>
    <n v="96171715182"/>
    <s v="Spring  2025 - 2026"/>
    <n v="99"/>
    <n v="6"/>
    <n v="7"/>
    <n v="99"/>
    <n v="0.13131313131313133"/>
    <x v="1"/>
  </r>
  <r>
    <n v="62430076"/>
    <n v="209728"/>
    <s v="Angelina"/>
    <s v="Megerditch"/>
    <s v="Jertidian"/>
    <s v="Mount Lebanon"/>
    <x v="2"/>
    <x v="0"/>
    <x v="10"/>
    <x v="10"/>
    <x v="1"/>
    <n v="81301395"/>
    <s v="Fall  2024 - 2025"/>
    <n v="99"/>
    <n v="18"/>
    <n v="12"/>
    <n v="69"/>
    <n v="0.30303030303030304"/>
    <x v="1"/>
  </r>
  <r>
    <n v="62330309"/>
    <n v="205889"/>
    <s v="Angy"/>
    <s v="Taan"/>
    <s v="Harb"/>
    <s v="Mount Lebanon"/>
    <x v="2"/>
    <x v="0"/>
    <x v="3"/>
    <x v="3"/>
    <x v="1"/>
    <n v="96176829016"/>
    <s v="Fall  2023 - 2024"/>
    <n v="99"/>
    <n v="45"/>
    <n v="9"/>
    <n v="45"/>
    <n v="0.54545454545454541"/>
    <x v="0"/>
  </r>
  <r>
    <n v="62130215"/>
    <n v="170040"/>
    <s v="Angy"/>
    <s v="Jamal"/>
    <s v="Sayed"/>
    <s v="Mount Lebanon"/>
    <x v="1"/>
    <x v="0"/>
    <x v="14"/>
    <x v="14"/>
    <x v="2"/>
    <n v="76526205"/>
    <s v="Fall  2021 - 2022"/>
    <n v="105"/>
    <n v="57"/>
    <n v="14"/>
    <n v="34"/>
    <n v="0.67619047619047623"/>
    <x v="0"/>
  </r>
  <r>
    <n v="62530157"/>
    <n v="222430"/>
    <s v="Anita"/>
    <s v="Edmond"/>
    <s v="Melhem"/>
    <s v="Mount Lebanon"/>
    <x v="1"/>
    <x v="0"/>
    <x v="23"/>
    <x v="23"/>
    <x v="2"/>
    <n v="81437645"/>
    <s v="Fall  2025 - 2026"/>
    <n v="99"/>
    <n v="3"/>
    <n v="12"/>
    <n v="88"/>
    <n v="0.15151515151515152"/>
    <x v="1"/>
  </r>
  <r>
    <n v="62230089"/>
    <n v="195580"/>
    <s v="Anna"/>
    <s v="Antoine"/>
    <s v="Maatouk"/>
    <s v="Mount Lebanon"/>
    <x v="1"/>
    <x v="0"/>
    <x v="8"/>
    <x v="8"/>
    <x v="2"/>
    <n v="71793296"/>
    <s v="Fall  2022 - 2023"/>
    <n v="99"/>
    <n v="82"/>
    <n v="17"/>
    <n v="0"/>
    <n v="1"/>
    <x v="0"/>
  </r>
  <r>
    <n v="62230345"/>
    <n v="191770"/>
    <s v="Annie"/>
    <s v="Jack"/>
    <s v="Addoul"/>
    <s v="Mount Lebanon"/>
    <x v="1"/>
    <x v="0"/>
    <x v="8"/>
    <x v="8"/>
    <x v="2"/>
    <n v="79143781"/>
    <s v="Fall  2022 - 2023"/>
    <n v="99"/>
    <n v="42"/>
    <n v="10"/>
    <n v="47"/>
    <n v="0.5252525252525253"/>
    <x v="0"/>
  </r>
  <r>
    <n v="62430013"/>
    <n v="209306"/>
    <s v="Anthony"/>
    <s v="Antoine"/>
    <s v="Al Alam"/>
    <s v="Mount Lebanon"/>
    <x v="1"/>
    <x v="0"/>
    <x v="5"/>
    <x v="5"/>
    <x v="1"/>
    <n v="81393185"/>
    <s v="Fall  2024 - 2025"/>
    <n v="100"/>
    <n v="50"/>
    <n v="15"/>
    <n v="35"/>
    <n v="0.65"/>
    <x v="0"/>
  </r>
  <r>
    <n v="62130463"/>
    <n v="178196"/>
    <s v="Anthony"/>
    <s v="Jamil"/>
    <s v="Daher"/>
    <s v="Mount Lebanon"/>
    <x v="1"/>
    <x v="0"/>
    <x v="24"/>
    <x v="24"/>
    <x v="1"/>
    <n v="76534397"/>
    <s v="Fall  2021 - 2022"/>
    <n v="108"/>
    <n v="96"/>
    <n v="12"/>
    <n v="0"/>
    <n v="1"/>
    <x v="0"/>
  </r>
  <r>
    <n v="62430259"/>
    <n v="215065"/>
    <s v="Anthony"/>
    <s v="Semaan"/>
    <s v="Daher"/>
    <s v="Mount Lebanon"/>
    <x v="2"/>
    <x v="0"/>
    <x v="3"/>
    <x v="3"/>
    <x v="1"/>
    <n v="76346884"/>
    <s v="Fall  2024 - 2025"/>
    <n v="99"/>
    <n v="33"/>
    <n v="12"/>
    <n v="54"/>
    <n v="0.45454545454545453"/>
    <x v="1"/>
  </r>
  <r>
    <n v="62510057"/>
    <n v="218604"/>
    <s v="Anthony"/>
    <s v="Fouad"/>
    <s v="El Kassis"/>
    <s v="Mount Lebanon"/>
    <x v="2"/>
    <x v="0"/>
    <x v="22"/>
    <x v="22"/>
    <x v="1"/>
    <n v="71808970"/>
    <s v="Spring  2024 - 2025"/>
    <n v="99"/>
    <n v="3"/>
    <n v="12"/>
    <n v="84"/>
    <n v="0.15151515151515152"/>
    <x v="1"/>
  </r>
  <r>
    <n v="62430095"/>
    <n v="210048"/>
    <s v="Anthony"/>
    <s v="Roland"/>
    <s v="El Zoghbi"/>
    <s v="Mount Lebanon"/>
    <x v="0"/>
    <x v="0"/>
    <x v="25"/>
    <x v="25"/>
    <x v="2"/>
    <n v="70484730"/>
    <s v="Fall  2024 - 2025"/>
    <n v="114"/>
    <n v="21"/>
    <n v="13"/>
    <n v="74"/>
    <n v="0.2982456140350877"/>
    <x v="1"/>
  </r>
  <r>
    <n v="62430075"/>
    <n v="211399"/>
    <s v="Anthony"/>
    <s v="Sami"/>
    <s v="Maalouf"/>
    <s v="Mount Lebanon"/>
    <x v="2"/>
    <x v="0"/>
    <x v="3"/>
    <x v="3"/>
    <x v="1"/>
    <n v="71763478"/>
    <s v="Fall  2024 - 2025"/>
    <n v="99"/>
    <n v="45"/>
    <n v="18"/>
    <n v="36"/>
    <n v="0.63636363636363635"/>
    <x v="0"/>
  </r>
  <r>
    <n v="62610024"/>
    <n v="227683"/>
    <s v="Anthony"/>
    <s v="Chawki"/>
    <s v="Najem"/>
    <s v="Mount Lebanon"/>
    <x v="1"/>
    <x v="0"/>
    <x v="26"/>
    <x v="26"/>
    <x v="1"/>
    <n v="96176862414"/>
    <s v="Spring  2025 - 2026"/>
    <n v="99"/>
    <n v="0"/>
    <n v="9"/>
    <n v="96"/>
    <n v="9.0909090909090912E-2"/>
    <x v="1"/>
  </r>
  <r>
    <n v="61930309"/>
    <n v="145220"/>
    <s v="Anthony"/>
    <s v="Charbel"/>
    <s v="Njeim"/>
    <s v="Mount Lebanon"/>
    <x v="1"/>
    <x v="0"/>
    <x v="5"/>
    <x v="5"/>
    <x v="1"/>
    <n v="96170895936"/>
    <s v="Fall  2019 - 2020"/>
    <n v="100"/>
    <n v="91"/>
    <n v="9"/>
    <n v="0"/>
    <n v="1"/>
    <x v="0"/>
  </r>
  <r>
    <n v="62330105"/>
    <n v="200413"/>
    <s v="Anthony"/>
    <s v="Chadi"/>
    <s v="Saoud"/>
    <s v="Mount Lebanon"/>
    <x v="2"/>
    <x v="0"/>
    <x v="6"/>
    <x v="6"/>
    <x v="1"/>
    <n v="71893711"/>
    <s v="Fall  2023 - 2024"/>
    <n v="99"/>
    <n v="51"/>
    <n v="9"/>
    <n v="39"/>
    <n v="0.60606060606060608"/>
    <x v="0"/>
  </r>
  <r>
    <n v="62430188"/>
    <n v="213999"/>
    <s v="Anthony"/>
    <s v="Sami"/>
    <s v="Tannous"/>
    <s v="Mount Lebanon"/>
    <x v="1"/>
    <x v="0"/>
    <x v="15"/>
    <x v="15"/>
    <x v="1"/>
    <n v="96171417665"/>
    <s v="Fall  2024 - 2025"/>
    <n v="99"/>
    <n v="12"/>
    <n v="15"/>
    <n v="72"/>
    <n v="0.27272727272727271"/>
    <x v="1"/>
  </r>
  <r>
    <n v="62510004"/>
    <n v="217926"/>
    <s v="Antoine"/>
    <s v="Pierre"/>
    <s v="Jaajaa"/>
    <s v="Mount Lebanon"/>
    <x v="1"/>
    <x v="0"/>
    <x v="27"/>
    <x v="27"/>
    <x v="1"/>
    <n v="76113442"/>
    <s v="Spring  2024 - 2025"/>
    <n v="108"/>
    <n v="0"/>
    <n v="7"/>
    <n v="119"/>
    <n v="6.4814814814814811E-2"/>
    <x v="1"/>
  </r>
  <r>
    <n v="62430071"/>
    <n v="211392"/>
    <s v="Antonio"/>
    <s v="Joseph"/>
    <s v="Najem"/>
    <s v="Mount Lebanon"/>
    <x v="2"/>
    <x v="0"/>
    <x v="17"/>
    <x v="17"/>
    <x v="2"/>
    <n v="96181054507"/>
    <s v="Fall  2024 - 2025"/>
    <n v="99"/>
    <n v="30"/>
    <n v="18"/>
    <n v="51"/>
    <n v="0.48484848484848486"/>
    <x v="1"/>
  </r>
  <r>
    <n v="62330266"/>
    <n v="203633"/>
    <s v="Antonio"/>
    <s v="Shahid"/>
    <s v="Samaha"/>
    <s v="Mount Lebanon"/>
    <x v="1"/>
    <x v="0"/>
    <x v="2"/>
    <x v="2"/>
    <x v="1"/>
    <n v="76308451"/>
    <s v="Fall  2023 - 2024"/>
    <n v="99"/>
    <n v="87"/>
    <n v="12"/>
    <n v="0"/>
    <n v="1"/>
    <x v="0"/>
  </r>
  <r>
    <n v="62430297"/>
    <n v="216016"/>
    <s v="Antranic"/>
    <s v="George"/>
    <s v="Shadoian"/>
    <s v="Mount Lebanon"/>
    <x v="2"/>
    <x v="0"/>
    <x v="3"/>
    <x v="3"/>
    <x v="1"/>
    <n v="79106364"/>
    <s v="Fall  2024 - 2025"/>
    <n v="99"/>
    <n v="27"/>
    <n v="12"/>
    <n v="60"/>
    <n v="0.39393939393939392"/>
    <x v="1"/>
  </r>
  <r>
    <n v="62330085"/>
    <n v="199052"/>
    <s v="Arina"/>
    <s v="Ohannes"/>
    <s v="Anjayan"/>
    <s v="Mount Lebanon"/>
    <x v="1"/>
    <x v="0"/>
    <x v="2"/>
    <x v="2"/>
    <x v="1"/>
    <n v="96176838037"/>
    <s v="Fall  2023 - 2024"/>
    <n v="99"/>
    <n v="49"/>
    <n v="13"/>
    <n v="37"/>
    <n v="0.6262626262626263"/>
    <x v="0"/>
  </r>
  <r>
    <n v="62530096"/>
    <n v="221164"/>
    <s v="Arsanios"/>
    <s v="Nader Salib"/>
    <s v="Rizk Salib"/>
    <s v="Mount Lebanon"/>
    <x v="0"/>
    <x v="0"/>
    <x v="1"/>
    <x v="1"/>
    <x v="0"/>
    <n v="96181885295"/>
    <s v="Fall  2025 - 2026"/>
    <n v="108"/>
    <n v="0"/>
    <n v="16"/>
    <n v="96"/>
    <n v="0.14814814814814814"/>
    <x v="1"/>
  </r>
  <r>
    <n v="62330026"/>
    <n v="198768"/>
    <s v="Assaad"/>
    <s v="Samir"/>
    <s v="Farhat"/>
    <s v="Mount Lebanon"/>
    <x v="1"/>
    <x v="0"/>
    <x v="5"/>
    <x v="5"/>
    <x v="1"/>
    <n v="96170999341"/>
    <s v="Fall  2023 - 2024"/>
    <n v="100"/>
    <n v="84"/>
    <n v="16"/>
    <n v="0"/>
    <n v="1"/>
    <x v="0"/>
  </r>
  <r>
    <n v="62530212"/>
    <n v="225292"/>
    <s v="Aya"/>
    <s v="Hasan"/>
    <s v="Fawwaz"/>
    <s v="Mount Lebanon"/>
    <x v="1"/>
    <x v="0"/>
    <x v="28"/>
    <x v="28"/>
    <x v="2"/>
    <n v="96178901464"/>
    <s v="Fall  2025 - 2026"/>
    <n v="99"/>
    <n v="9"/>
    <n v="14"/>
    <n v="76"/>
    <n v="0.23232323232323232"/>
    <x v="1"/>
  </r>
  <r>
    <n v="62430226"/>
    <n v="214069"/>
    <s v="Aya"/>
    <s v="Hazem"/>
    <s v="Younso"/>
    <s v="Mount Lebanon"/>
    <x v="1"/>
    <x v="0"/>
    <x v="2"/>
    <x v="2"/>
    <x v="1"/>
    <n v="81476740"/>
    <s v="Fall  2024 - 2025"/>
    <n v="99"/>
    <n v="61"/>
    <n v="16"/>
    <n v="22"/>
    <n v="0.77777777777777779"/>
    <x v="0"/>
  </r>
  <r>
    <n v="62510044"/>
    <n v="222584"/>
    <s v="Aya Nahila"/>
    <s v="Charles"/>
    <s v="Khoury"/>
    <s v="Mount Lebanon"/>
    <x v="1"/>
    <x v="0"/>
    <x v="26"/>
    <x v="26"/>
    <x v="1"/>
    <n v="96178847699"/>
    <s v="Spring  2024 - 2025"/>
    <n v="99"/>
    <n v="49"/>
    <n v="15"/>
    <n v="38"/>
    <n v="0.64646464646464652"/>
    <x v="0"/>
  </r>
  <r>
    <n v="62230376"/>
    <n v="193096"/>
    <s v="Bachir"/>
    <s v="Imad"/>
    <s v="Gerges"/>
    <s v="Mount Lebanon"/>
    <x v="2"/>
    <x v="0"/>
    <x v="3"/>
    <x v="3"/>
    <x v="1"/>
    <n v="96171515432"/>
    <s v="Fall  2022 - 2023"/>
    <n v="99"/>
    <n v="81"/>
    <n v="18"/>
    <n v="0"/>
    <n v="1"/>
    <x v="0"/>
  </r>
  <r>
    <n v="62530188"/>
    <n v="223904"/>
    <s v="Batoul"/>
    <s v="Hussein"/>
    <s v="Kataya"/>
    <s v="Mount Lebanon"/>
    <x v="2"/>
    <x v="0"/>
    <x v="22"/>
    <x v="22"/>
    <x v="1"/>
    <n v="9613726313"/>
    <s v="Fall  2025 - 2026"/>
    <n v="99"/>
    <n v="0"/>
    <n v="10"/>
    <n v="100"/>
    <n v="0.10101010101010101"/>
    <x v="1"/>
  </r>
  <r>
    <n v="62430093"/>
    <n v="210064"/>
    <s v="Batoul"/>
    <s v="Hicham"/>
    <s v="Zaiter"/>
    <s v="Mount Lebanon"/>
    <x v="2"/>
    <x v="0"/>
    <x v="22"/>
    <x v="22"/>
    <x v="1"/>
    <n v="79410426"/>
    <s v="Fall  2024 - 2025"/>
    <n v="99"/>
    <n v="3"/>
    <n v="21"/>
    <n v="78"/>
    <n v="0.24242424242424243"/>
    <x v="1"/>
  </r>
  <r>
    <n v="62430300"/>
    <n v="216319"/>
    <s v="Bayan"/>
    <s v="Mohamad"/>
    <s v="Hamdoun Alkhalaf"/>
    <s v="Mount Lebanon"/>
    <x v="1"/>
    <x v="0"/>
    <x v="14"/>
    <x v="14"/>
    <x v="2"/>
    <n v="96181907039"/>
    <s v="Fall  2024 - 2025"/>
    <n v="105"/>
    <n v="34"/>
    <n v="17"/>
    <n v="54"/>
    <n v="0.48571428571428571"/>
    <x v="1"/>
  </r>
  <r>
    <n v="62430307"/>
    <n v="216318"/>
    <s v="Bayan"/>
    <s v="Abed El Kader"/>
    <s v="Yousfo"/>
    <s v="Mount Lebanon"/>
    <x v="1"/>
    <x v="0"/>
    <x v="14"/>
    <x v="14"/>
    <x v="2"/>
    <n v="96181361469"/>
    <s v="Fall  2024 - 2025"/>
    <n v="105"/>
    <n v="37"/>
    <n v="14"/>
    <n v="54"/>
    <n v="0.48571428571428571"/>
    <x v="1"/>
  </r>
  <r>
    <n v="62330100"/>
    <n v="199858"/>
    <s v="Bchara"/>
    <s v="Ghassan"/>
    <s v="Tawk"/>
    <s v="Mount Lebanon"/>
    <x v="2"/>
    <x v="0"/>
    <x v="6"/>
    <x v="6"/>
    <x v="1"/>
    <n v="81380404"/>
    <s v="Fall  2023 - 2024"/>
    <n v="99"/>
    <n v="42"/>
    <n v="15"/>
    <n v="42"/>
    <n v="0.5757575757575758"/>
    <x v="0"/>
  </r>
  <r>
    <n v="62230236"/>
    <n v="189265"/>
    <s v="Bechara"/>
    <s v="Abdo"/>
    <s v="Bechara Richa"/>
    <s v="Mount Lebanon"/>
    <x v="0"/>
    <x v="0"/>
    <x v="1"/>
    <x v="1"/>
    <x v="0"/>
    <n v="76559929"/>
    <s v="Fall  2022 - 2023"/>
    <n v="108"/>
    <n v="64"/>
    <n v="13"/>
    <n v="31"/>
    <n v="0.71296296296296291"/>
    <x v="0"/>
  </r>
  <r>
    <n v="62530016"/>
    <n v="219191"/>
    <s v="Berfine"/>
    <s v="Mostafa"/>
    <s v="Hamo"/>
    <s v="Mount Lebanon"/>
    <x v="0"/>
    <x v="0"/>
    <x v="29"/>
    <x v="29"/>
    <x v="0"/>
    <n v="96171299127"/>
    <s v="Fall  2025 - 2026"/>
    <n v="108"/>
    <n v="0"/>
    <n v="17"/>
    <n v="95"/>
    <n v="0.15740740740740741"/>
    <x v="1"/>
  </r>
  <r>
    <n v="62230078"/>
    <n v="190070"/>
    <s v="Bissan"/>
    <s v="Wael"/>
    <s v="Hani"/>
    <s v="Mount Lebanon"/>
    <x v="1"/>
    <x v="0"/>
    <x v="14"/>
    <x v="14"/>
    <x v="2"/>
    <s v="70 824 314"/>
    <s v="Fall  2022 - 2023"/>
    <n v="105"/>
    <n v="90"/>
    <n v="9"/>
    <n v="6"/>
    <n v="0.94285714285714284"/>
    <x v="0"/>
  </r>
  <r>
    <n v="62330123"/>
    <n v="199887"/>
    <s v="Bouchra"/>
    <s v="Elias"/>
    <s v="Ibrahim"/>
    <s v="Mount Lebanon"/>
    <x v="2"/>
    <x v="0"/>
    <x v="3"/>
    <x v="3"/>
    <x v="1"/>
    <n v="71690688"/>
    <s v="Fall  2023 - 2024"/>
    <n v="99"/>
    <n v="81"/>
    <n v="18"/>
    <n v="0"/>
    <n v="1"/>
    <x v="0"/>
  </r>
  <r>
    <n v="62310012"/>
    <n v="196956"/>
    <s v="Bryan"/>
    <s v="Simon"/>
    <s v="Zaklit"/>
    <s v="Mount Lebanon"/>
    <x v="0"/>
    <x v="0"/>
    <x v="1"/>
    <x v="1"/>
    <x v="0"/>
    <n v="96181911074"/>
    <s v="Spring  2022 - 2023"/>
    <n v="108"/>
    <n v="88"/>
    <n v="17"/>
    <n v="3"/>
    <n v="0.97222222222222221"/>
    <x v="0"/>
  </r>
  <r>
    <n v="62430261"/>
    <n v="215036"/>
    <s v="Caitlen"/>
    <s v="Samir"/>
    <s v="Fares"/>
    <s v="Mount Lebanon"/>
    <x v="1"/>
    <x v="0"/>
    <x v="15"/>
    <x v="15"/>
    <x v="1"/>
    <n v="71678133"/>
    <s v="Fall  2024 - 2025"/>
    <n v="99"/>
    <n v="18"/>
    <n v="9"/>
    <n v="72"/>
    <n v="0.27272727272727271"/>
    <x v="1"/>
  </r>
  <r>
    <n v="62530144"/>
    <n v="222515"/>
    <s v="Carelle"/>
    <s v="Elias"/>
    <s v="Al Khoueiry"/>
    <s v="Mount Lebanon"/>
    <x v="2"/>
    <x v="0"/>
    <x v="22"/>
    <x v="22"/>
    <x v="1"/>
    <n v="76194122"/>
    <s v="Fall  2025 - 2026"/>
    <n v="99"/>
    <n v="51"/>
    <n v="15"/>
    <n v="33"/>
    <n v="0.66666666666666663"/>
    <x v="0"/>
  </r>
  <r>
    <n v="62330363"/>
    <n v="207372"/>
    <s v="Caren"/>
    <s v="Jihad"/>
    <s v="Brayteh"/>
    <s v="Mount Lebanon"/>
    <x v="1"/>
    <x v="0"/>
    <x v="8"/>
    <x v="8"/>
    <x v="2"/>
    <n v="71737559"/>
    <s v="Fall  2023 - 2024"/>
    <n v="99"/>
    <n v="6"/>
    <n v="14"/>
    <n v="79"/>
    <n v="0.20202020202020202"/>
    <x v="1"/>
  </r>
  <r>
    <n v="62130461"/>
    <n v="178650"/>
    <s v="Carine"/>
    <s v="Mohammad"/>
    <s v="Hajj Hassan"/>
    <s v="Mount Lebanon"/>
    <x v="2"/>
    <x v="0"/>
    <x v="30"/>
    <x v="30"/>
    <x v="1"/>
    <n v="9613921492"/>
    <s v="Fall  2021 - 2022"/>
    <n v="99"/>
    <n v="84"/>
    <n v="15"/>
    <n v="0"/>
    <n v="1"/>
    <x v="0"/>
  </r>
  <r>
    <n v="61930148"/>
    <n v="142342"/>
    <s v="Carl"/>
    <s v="Elias"/>
    <s v="Al Aaraj"/>
    <s v="Mount Lebanon"/>
    <x v="2"/>
    <x v="0"/>
    <x v="3"/>
    <x v="3"/>
    <x v="1"/>
    <n v="76520324"/>
    <s v="Fall  2019 - 2020"/>
    <n v="99"/>
    <n v="60"/>
    <n v="15"/>
    <n v="24"/>
    <n v="0.75757575757575757"/>
    <x v="0"/>
  </r>
  <r>
    <n v="62330175"/>
    <n v="201093"/>
    <s v="Carl"/>
    <s v="Abdo"/>
    <s v="Mansour"/>
    <s v="Mount Lebanon"/>
    <x v="1"/>
    <x v="0"/>
    <x v="2"/>
    <x v="2"/>
    <x v="1"/>
    <n v="96170638083"/>
    <s v="Fall  2023 - 2024"/>
    <n v="99"/>
    <n v="63"/>
    <n v="12"/>
    <n v="24"/>
    <n v="0.75757575757575757"/>
    <x v="0"/>
  </r>
  <r>
    <n v="62330031"/>
    <n v="211142"/>
    <s v="Carla"/>
    <s v="Youssef"/>
    <s v="Aslanian"/>
    <s v="Mount Lebanon"/>
    <x v="1"/>
    <x v="0"/>
    <x v="2"/>
    <x v="2"/>
    <x v="1"/>
    <n v="96181654910"/>
    <s v="Fall  2024 - 2025"/>
    <n v="99"/>
    <n v="45"/>
    <n v="15"/>
    <n v="39"/>
    <n v="0.60606060606060608"/>
    <x v="0"/>
  </r>
  <r>
    <n v="62530201"/>
    <n v="224527"/>
    <s v="Carla"/>
    <s v="Yervant"/>
    <s v="Kevork"/>
    <s v="Mount Lebanon"/>
    <x v="2"/>
    <x v="0"/>
    <x v="22"/>
    <x v="22"/>
    <x v="1"/>
    <n v="96170198006"/>
    <s v="Fall  2025 - 2026"/>
    <n v="99"/>
    <n v="0"/>
    <n v="12"/>
    <n v="87"/>
    <n v="0.12121212121212122"/>
    <x v="1"/>
  </r>
  <r>
    <n v="62430330"/>
    <n v="216998"/>
    <s v="Caryne"/>
    <s v="Sadek"/>
    <s v="Fakhreddine"/>
    <s v="Mount Lebanon"/>
    <x v="4"/>
    <x v="0"/>
    <x v="31"/>
    <x v="31"/>
    <x v="2"/>
    <n v="71807654"/>
    <s v="Fall  2024 - 2025"/>
    <n v="99"/>
    <n v="18"/>
    <n v="9"/>
    <n v="72"/>
    <n v="0.27272727272727271"/>
    <x v="1"/>
  </r>
  <r>
    <n v="62530112"/>
    <n v="222138"/>
    <s v="Catalina"/>
    <s v="Jack"/>
    <s v="Al Hourany"/>
    <s v="Mount Lebanon"/>
    <x v="2"/>
    <x v="0"/>
    <x v="11"/>
    <x v="11"/>
    <x v="1"/>
    <n v="96178730550"/>
    <s v="Fall  2025 - 2026"/>
    <n v="99"/>
    <n v="15"/>
    <n v="18"/>
    <n v="66"/>
    <n v="0.33333333333333331"/>
    <x v="1"/>
  </r>
  <r>
    <n v="62430103"/>
    <n v="210062"/>
    <s v="Catherine"/>
    <s v="Mounir"/>
    <s v="El Haiby"/>
    <s v="Mount Lebanon"/>
    <x v="2"/>
    <x v="0"/>
    <x v="6"/>
    <x v="6"/>
    <x v="1"/>
    <n v="96181859161"/>
    <s v="Fall  2024 - 2025"/>
    <n v="99"/>
    <n v="36"/>
    <n v="12"/>
    <n v="51"/>
    <n v="0.48484848484848486"/>
    <x v="1"/>
  </r>
  <r>
    <n v="62330319"/>
    <n v="206125"/>
    <s v="Cedra"/>
    <s v="Basam"/>
    <s v="Ghafarje"/>
    <s v="Mount Lebanon"/>
    <x v="1"/>
    <x v="0"/>
    <x v="12"/>
    <x v="12"/>
    <x v="1"/>
    <n v="96176849622"/>
    <s v="Fall  2023 - 2024"/>
    <n v="99"/>
    <n v="24"/>
    <n v="10"/>
    <n v="69"/>
    <n v="0.34343434343434343"/>
    <x v="1"/>
  </r>
  <r>
    <n v="62610019"/>
    <n v="227382"/>
    <s v="Cedra"/>
    <s v="Georges"/>
    <s v="Ibrahim"/>
    <s v="Mount Lebanon"/>
    <x v="2"/>
    <x v="0"/>
    <x v="19"/>
    <x v="19"/>
    <x v="2"/>
    <n v="96181403186"/>
    <s v="Spring  2025 - 2026"/>
    <n v="99"/>
    <n v="30"/>
    <n v="12"/>
    <n v="57"/>
    <n v="0.42424242424242425"/>
    <x v="1"/>
  </r>
  <r>
    <n v="62430031"/>
    <n v="209486"/>
    <s v="Celena"/>
    <s v="Charbel"/>
    <s v="Al Hourany"/>
    <s v="Mount Lebanon"/>
    <x v="2"/>
    <x v="0"/>
    <x v="6"/>
    <x v="6"/>
    <x v="1"/>
    <n v="81225695"/>
    <s v="Fall  2024 - 2025"/>
    <n v="99"/>
    <n v="39"/>
    <n v="18"/>
    <n v="42"/>
    <n v="0.5757575757575758"/>
    <x v="0"/>
  </r>
  <r>
    <n v="62310030"/>
    <n v="197485"/>
    <s v="Celine"/>
    <s v="Joseph"/>
    <s v="Abou Nader"/>
    <s v="Mount Lebanon"/>
    <x v="1"/>
    <x v="0"/>
    <x v="8"/>
    <x v="8"/>
    <x v="2"/>
    <n v="9613088295"/>
    <s v="Spring  2022 - 2023"/>
    <n v="99"/>
    <n v="74"/>
    <n v="13"/>
    <n v="12"/>
    <n v="0.87878787878787878"/>
    <x v="0"/>
  </r>
  <r>
    <n v="62430189"/>
    <n v="213434"/>
    <s v="Celine"/>
    <s v="Ibrahim"/>
    <s v="Bachour"/>
    <s v="Mount Lebanon"/>
    <x v="2"/>
    <x v="0"/>
    <x v="32"/>
    <x v="32"/>
    <x v="1"/>
    <n v="71689585"/>
    <s v="Fall  2024 - 2025"/>
    <n v="99"/>
    <n v="27"/>
    <n v="18"/>
    <n v="54"/>
    <n v="0.45454545454545453"/>
    <x v="1"/>
  </r>
  <r>
    <n v="62530203"/>
    <n v="224969"/>
    <s v="Celine"/>
    <s v="Hosep"/>
    <s v="Bakalian"/>
    <s v="Mount Lebanon"/>
    <x v="2"/>
    <x v="0"/>
    <x v="33"/>
    <x v="33"/>
    <x v="1"/>
    <n v="71080246"/>
    <s v="Fall  2025 - 2026"/>
    <n v="99"/>
    <n v="9"/>
    <n v="12"/>
    <n v="78"/>
    <n v="0.21212121212121213"/>
    <x v="1"/>
  </r>
  <r>
    <n v="62230191"/>
    <n v="187252"/>
    <s v="Celine"/>
    <s v="Samir"/>
    <s v="Elkhoury"/>
    <s v="Mount Lebanon"/>
    <x v="1"/>
    <x v="0"/>
    <x v="15"/>
    <x v="15"/>
    <x v="1"/>
    <n v="70418659"/>
    <s v="Fall  2022 - 2023"/>
    <n v="99"/>
    <n v="90"/>
    <n v="9"/>
    <n v="0"/>
    <n v="1"/>
    <x v="0"/>
  </r>
  <r>
    <n v="62230340"/>
    <n v="191793"/>
    <s v="Celine"/>
    <s v="Arakel"/>
    <s v="Ohannessian"/>
    <s v="Mount Lebanon"/>
    <x v="1"/>
    <x v="0"/>
    <x v="14"/>
    <x v="14"/>
    <x v="2"/>
    <n v="96171579063"/>
    <s v="Fall  2022 - 2023"/>
    <n v="105"/>
    <n v="94"/>
    <n v="5"/>
    <n v="6"/>
    <n v="0.94285714285714284"/>
    <x v="0"/>
  </r>
  <r>
    <n v="62530062"/>
    <n v="220482"/>
    <s v="Celine"/>
    <s v="Elias"/>
    <s v="Samaha"/>
    <s v="Mount Lebanon"/>
    <x v="2"/>
    <x v="0"/>
    <x v="9"/>
    <x v="9"/>
    <x v="1"/>
    <n v="81307045"/>
    <s v="Fall  2025 - 2026"/>
    <n v="99"/>
    <n v="15"/>
    <n v="15"/>
    <n v="69"/>
    <n v="0.30303030303030304"/>
    <x v="1"/>
  </r>
  <r>
    <n v="62330139"/>
    <n v="199637"/>
    <s v="Chafic"/>
    <s v="Tanios"/>
    <s v="Nouaime"/>
    <s v="Mount Lebanon"/>
    <x v="2"/>
    <x v="0"/>
    <x v="10"/>
    <x v="10"/>
    <x v="1"/>
    <n v="96181822896"/>
    <s v="Fall  2023 - 2024"/>
    <n v="99"/>
    <n v="39"/>
    <n v="18"/>
    <n v="42"/>
    <n v="0.5757575757575758"/>
    <x v="0"/>
  </r>
  <r>
    <n v="62430099"/>
    <n v="210608"/>
    <s v="Chahed"/>
    <s v="Hazem"/>
    <s v="Younso"/>
    <s v="Mount Lebanon"/>
    <x v="1"/>
    <x v="0"/>
    <x v="15"/>
    <x v="15"/>
    <x v="1"/>
    <n v="96181394854"/>
    <s v="Fall  2024 - 2025"/>
    <n v="99"/>
    <n v="31"/>
    <n v="19"/>
    <n v="49"/>
    <n v="0.50505050505050508"/>
    <x v="0"/>
  </r>
  <r>
    <n v="62410008"/>
    <n v="207957"/>
    <s v="Chantal"/>
    <s v="Samir"/>
    <s v="Al Khawli"/>
    <s v="Mount Lebanon"/>
    <x v="1"/>
    <x v="0"/>
    <x v="34"/>
    <x v="34"/>
    <x v="1"/>
    <n v="76408024"/>
    <s v="Spring  2023 - 2024"/>
    <n v="108"/>
    <n v="12"/>
    <n v="18"/>
    <n v="84"/>
    <n v="0.27777777777777779"/>
    <x v="1"/>
  </r>
  <r>
    <n v="62430305"/>
    <n v="216243"/>
    <s v="Charbel"/>
    <s v="Fadi"/>
    <s v="Al Raii"/>
    <s v="Mount Lebanon"/>
    <x v="0"/>
    <x v="0"/>
    <x v="1"/>
    <x v="1"/>
    <x v="0"/>
    <n v="76486906"/>
    <s v="Fall  2024 - 2025"/>
    <n v="108"/>
    <n v="18"/>
    <n v="12"/>
    <n v="78"/>
    <n v="0.27777777777777779"/>
    <x v="1"/>
  </r>
  <r>
    <n v="62430122"/>
    <n v="210056"/>
    <s v="Charbel"/>
    <s v="Edgard"/>
    <s v="Aoun"/>
    <s v="Mount Lebanon"/>
    <x v="1"/>
    <x v="0"/>
    <x v="5"/>
    <x v="5"/>
    <x v="1"/>
    <n v="96176977711"/>
    <s v="Fall  2024 - 2025"/>
    <n v="100"/>
    <n v="31"/>
    <n v="10"/>
    <n v="59"/>
    <n v="0.41"/>
    <x v="1"/>
  </r>
  <r>
    <n v="62530159"/>
    <n v="222452"/>
    <s v="Charbel"/>
    <s v="Gaby"/>
    <s v="Awad"/>
    <s v="Mount Lebanon"/>
    <x v="2"/>
    <x v="0"/>
    <x v="11"/>
    <x v="11"/>
    <x v="1"/>
    <n v="96170435565"/>
    <s v="Fall  2025 - 2026"/>
    <n v="99"/>
    <n v="9"/>
    <n v="13"/>
    <n v="81"/>
    <n v="0.22222222222222221"/>
    <x v="1"/>
  </r>
  <r>
    <n v="62530231"/>
    <n v="224519"/>
    <s v="Charbel"/>
    <s v="Fahed"/>
    <s v="Awwad"/>
    <s v="Mount Lebanon"/>
    <x v="2"/>
    <x v="0"/>
    <x v="33"/>
    <x v="33"/>
    <x v="1"/>
    <n v="9613100187"/>
    <s v="Fall  2025 - 2026"/>
    <n v="99"/>
    <n v="0"/>
    <n v="12"/>
    <n v="87"/>
    <n v="0.12121212121212122"/>
    <x v="1"/>
  </r>
  <r>
    <n v="62230160"/>
    <n v="189151"/>
    <s v="Charbel"/>
    <s v="Rabih"/>
    <s v="Bou Zeidan Al Rehbany"/>
    <s v="Mount Lebanon"/>
    <x v="2"/>
    <x v="0"/>
    <x v="30"/>
    <x v="30"/>
    <x v="1"/>
    <n v="81652114"/>
    <s v="Fall  2022 - 2023"/>
    <n v="99"/>
    <n v="90"/>
    <n v="9"/>
    <n v="0"/>
    <n v="1"/>
    <x v="0"/>
  </r>
  <r>
    <n v="62130474"/>
    <n v="226608"/>
    <s v="Charbel"/>
    <s v="Botros"/>
    <s v="Chaaya"/>
    <s v="Mount Lebanon"/>
    <x v="0"/>
    <x v="0"/>
    <x v="16"/>
    <x v="16"/>
    <x v="0"/>
    <n v="76377161"/>
    <s v="Fall  2025 - 2026"/>
    <n v="108"/>
    <n v="43"/>
    <n v="6"/>
    <n v="59"/>
    <n v="0.45370370370370372"/>
    <x v="1"/>
  </r>
  <r>
    <n v="62130201"/>
    <n v="173666"/>
    <s v="Charbel"/>
    <s v="Michel"/>
    <s v="El Ghossein"/>
    <s v="Mount Lebanon"/>
    <x v="2"/>
    <x v="0"/>
    <x v="10"/>
    <x v="10"/>
    <x v="1"/>
    <n v="70403296"/>
    <s v="Fall  2021 - 2022"/>
    <n v="99"/>
    <n v="87"/>
    <n v="12"/>
    <n v="0"/>
    <n v="1"/>
    <x v="0"/>
  </r>
  <r>
    <n v="62030024"/>
    <n v="151897"/>
    <s v="Charbel"/>
    <s v="Salem"/>
    <s v="Ghantous"/>
    <s v="Mount Lebanon"/>
    <x v="2"/>
    <x v="0"/>
    <x v="6"/>
    <x v="6"/>
    <x v="1"/>
    <n v="79183314"/>
    <s v="Fall  2020 - 2021"/>
    <n v="99"/>
    <n v="33"/>
    <n v="12"/>
    <n v="54"/>
    <n v="0.45454545454545453"/>
    <x v="1"/>
  </r>
  <r>
    <n v="62230190"/>
    <n v="188625"/>
    <s v="Charbel"/>
    <s v="Miled"/>
    <s v="Hakim"/>
    <s v="Mount Lebanon"/>
    <x v="1"/>
    <x v="0"/>
    <x v="5"/>
    <x v="5"/>
    <x v="1"/>
    <n v="81487091"/>
    <s v="Fall  2022 - 2023"/>
    <n v="100"/>
    <n v="64"/>
    <n v="12"/>
    <n v="24"/>
    <n v="0.76"/>
    <x v="0"/>
  </r>
  <r>
    <n v="62430045"/>
    <n v="209726"/>
    <s v="Charbel"/>
    <s v="Rony"/>
    <s v="Harfouch"/>
    <s v="Mount Lebanon"/>
    <x v="2"/>
    <x v="0"/>
    <x v="9"/>
    <x v="9"/>
    <x v="1"/>
    <n v="96171523131"/>
    <s v="Fall  2024 - 2025"/>
    <n v="99"/>
    <n v="12"/>
    <n v="15"/>
    <n v="81"/>
    <n v="0.27272727272727271"/>
    <x v="1"/>
  </r>
  <r>
    <n v="62530106"/>
    <n v="220477"/>
    <s v="Charbel"/>
    <s v="Manuel"/>
    <s v="Jabrayan"/>
    <s v="Mount Lebanon"/>
    <x v="2"/>
    <x v="0"/>
    <x v="33"/>
    <x v="33"/>
    <x v="1"/>
    <n v="96181905643"/>
    <s v="Fall  2025 - 2026"/>
    <n v="99"/>
    <n v="15"/>
    <n v="12"/>
    <n v="72"/>
    <n v="0.27272727272727271"/>
    <x v="1"/>
  </r>
  <r>
    <n v="62130106"/>
    <n v="168050"/>
    <s v="Charbel"/>
    <s v="Jean Piere"/>
    <s v="Markous"/>
    <s v="Mount Lebanon"/>
    <x v="1"/>
    <x v="0"/>
    <x v="5"/>
    <x v="5"/>
    <x v="1"/>
    <n v="96181627526"/>
    <s v="Fall  2021 - 2022"/>
    <n v="100"/>
    <n v="61"/>
    <n v="9"/>
    <n v="30"/>
    <n v="0.7"/>
    <x v="0"/>
  </r>
  <r>
    <n v="62230310"/>
    <n v="191081"/>
    <s v="Charbel"/>
    <s v="Miran"/>
    <s v="Maroun"/>
    <s v="Mount Lebanon"/>
    <x v="2"/>
    <x v="0"/>
    <x v="6"/>
    <x v="6"/>
    <x v="1"/>
    <n v="96181600762"/>
    <s v="Fall  2022 - 2023"/>
    <n v="99"/>
    <n v="78"/>
    <n v="12"/>
    <n v="9"/>
    <n v="0.90909090909090906"/>
    <x v="0"/>
  </r>
  <r>
    <n v="62330190"/>
    <n v="201933"/>
    <s v="Charbel"/>
    <s v="Rabih"/>
    <s v="Matar"/>
    <s v="Mount Lebanon"/>
    <x v="0"/>
    <x v="0"/>
    <x v="1"/>
    <x v="1"/>
    <x v="0"/>
    <n v="96176724224"/>
    <s v="Fall  2023 - 2024"/>
    <n v="108"/>
    <n v="27"/>
    <n v="16"/>
    <n v="65"/>
    <n v="0.39814814814814814"/>
    <x v="1"/>
  </r>
  <r>
    <n v="62330028"/>
    <n v="198775"/>
    <s v="Charbel"/>
    <s v="Charbel"/>
    <s v="Mattar"/>
    <s v="Mount Lebanon"/>
    <x v="1"/>
    <x v="0"/>
    <x v="5"/>
    <x v="5"/>
    <x v="1"/>
    <n v="96170958119"/>
    <s v="Fall  2023 - 2024"/>
    <n v="100"/>
    <n v="87"/>
    <n v="13"/>
    <n v="0"/>
    <n v="1"/>
    <x v="0"/>
  </r>
  <r>
    <n v="62530063"/>
    <n v="220303"/>
    <s v="Charbel"/>
    <s v="Rony"/>
    <s v="Nassif"/>
    <s v="Mount Lebanon"/>
    <x v="2"/>
    <x v="0"/>
    <x v="19"/>
    <x v="19"/>
    <x v="2"/>
    <n v="3261742"/>
    <s v="Fall  2025 - 2026"/>
    <n v="99"/>
    <n v="9"/>
    <n v="15"/>
    <n v="75"/>
    <n v="0.24242424242424243"/>
    <x v="1"/>
  </r>
  <r>
    <n v="62210098"/>
    <n v="184096"/>
    <s v="Charbel"/>
    <s v="Elias"/>
    <s v="Nehme"/>
    <s v="Mount Lebanon"/>
    <x v="2"/>
    <x v="0"/>
    <x v="7"/>
    <x v="7"/>
    <x v="1"/>
    <n v="71817528"/>
    <s v="Spring  2021 - 2022"/>
    <n v="99"/>
    <n v="69"/>
    <n v="15"/>
    <n v="15"/>
    <n v="0.84848484848484851"/>
    <x v="0"/>
  </r>
  <r>
    <n v="62130291"/>
    <n v="174857"/>
    <s v="Charbel"/>
    <s v="Rizkallah"/>
    <s v="Rizkallah"/>
    <s v="Mount Lebanon"/>
    <x v="1"/>
    <x v="0"/>
    <x v="5"/>
    <x v="5"/>
    <x v="1"/>
    <n v="96176707662"/>
    <s v="Fall  2021 - 2022"/>
    <n v="100"/>
    <n v="81"/>
    <n v="16"/>
    <n v="3"/>
    <n v="0.97"/>
    <x v="0"/>
  </r>
  <r>
    <n v="62330255"/>
    <n v="203630"/>
    <s v="Charbel"/>
    <s v="Akram"/>
    <s v="Saad"/>
    <s v="Mount Lebanon"/>
    <x v="2"/>
    <x v="0"/>
    <x v="7"/>
    <x v="7"/>
    <x v="1"/>
    <n v="79170748"/>
    <s v="Fall  2023 - 2024"/>
    <n v="99"/>
    <n v="15"/>
    <n v="12"/>
    <n v="72"/>
    <n v="0.27272727272727271"/>
    <x v="1"/>
  </r>
  <r>
    <n v="62530120"/>
    <n v="221110"/>
    <s v="Charbel"/>
    <s v="Joseph"/>
    <s v="Saad"/>
    <s v="Mount Lebanon"/>
    <x v="2"/>
    <x v="0"/>
    <x v="33"/>
    <x v="33"/>
    <x v="1"/>
    <n v="81435223"/>
    <s v="Fall  2025 - 2026"/>
    <n v="99"/>
    <n v="6"/>
    <n v="15"/>
    <n v="78"/>
    <n v="0.21212121212121213"/>
    <x v="1"/>
  </r>
  <r>
    <n v="62510058"/>
    <n v="218605"/>
    <s v="Charbel"/>
    <s v="Johnny"/>
    <s v="Saghbiny"/>
    <s v="Mount Lebanon"/>
    <x v="2"/>
    <x v="0"/>
    <x v="22"/>
    <x v="22"/>
    <x v="1"/>
    <n v="96178922197"/>
    <s v="Spring  2024 - 2025"/>
    <n v="99"/>
    <n v="9"/>
    <n v="13"/>
    <n v="81"/>
    <n v="0.22222222222222221"/>
    <x v="1"/>
  </r>
  <r>
    <n v="62130495"/>
    <n v="180749"/>
    <s v="Charbel"/>
    <s v="Miled"/>
    <s v="Zwein"/>
    <s v="Mount Lebanon"/>
    <x v="2"/>
    <x v="0"/>
    <x v="32"/>
    <x v="32"/>
    <x v="1"/>
    <n v="70495435"/>
    <s v="Fall  2021 - 2022"/>
    <n v="99"/>
    <n v="78"/>
    <n v="15"/>
    <n v="6"/>
    <n v="0.93939393939393945"/>
    <x v="0"/>
  </r>
  <r>
    <n v="62530107"/>
    <n v="220474"/>
    <s v="Chloe"/>
    <s v="Manuel"/>
    <s v="Jabrayan"/>
    <s v="Mount Lebanon"/>
    <x v="1"/>
    <x v="0"/>
    <x v="28"/>
    <x v="28"/>
    <x v="2"/>
    <n v="96181649629"/>
    <s v="Fall  2025 - 2026"/>
    <n v="99"/>
    <n v="9"/>
    <n v="17"/>
    <n v="73"/>
    <n v="0.26262626262626265"/>
    <x v="1"/>
  </r>
  <r>
    <n v="62330153"/>
    <n v="200561"/>
    <s v="Chloe"/>
    <s v="Toufic"/>
    <s v="Samaha"/>
    <s v="Mount Lebanon"/>
    <x v="1"/>
    <x v="0"/>
    <x v="14"/>
    <x v="14"/>
    <x v="2"/>
    <n v="81234624"/>
    <s v="Fall  2023 - 2024"/>
    <n v="105"/>
    <n v="46"/>
    <n v="10"/>
    <n v="49"/>
    <n v="0.53333333333333333"/>
    <x v="0"/>
  </r>
  <r>
    <n v="62430052"/>
    <n v="209730"/>
    <s v="Chris"/>
    <s v="Elias"/>
    <s v="Al Saikaly"/>
    <s v="Mount Lebanon"/>
    <x v="1"/>
    <x v="0"/>
    <x v="35"/>
    <x v="35"/>
    <x v="1"/>
    <n v="71772412"/>
    <s v="Fall  2024 - 2025"/>
    <n v="99"/>
    <n v="19"/>
    <n v="16"/>
    <n v="65"/>
    <n v="0.35353535353535354"/>
    <x v="1"/>
  </r>
  <r>
    <n v="62530048"/>
    <n v="219810"/>
    <s v="Chris"/>
    <s v="Charbel"/>
    <s v="Saliba"/>
    <s v="Mount Lebanon"/>
    <x v="2"/>
    <x v="0"/>
    <x v="33"/>
    <x v="33"/>
    <x v="1"/>
    <n v="96181975785"/>
    <s v="Fall  2025 - 2026"/>
    <n v="99"/>
    <n v="15"/>
    <n v="15"/>
    <n v="69"/>
    <n v="0.30303030303030304"/>
    <x v="1"/>
  </r>
  <r>
    <n v="62330271"/>
    <n v="203694"/>
    <s v="Chriselda"/>
    <s v="Elias"/>
    <s v="Hayek"/>
    <s v="Mount Lebanon"/>
    <x v="2"/>
    <x v="0"/>
    <x v="3"/>
    <x v="3"/>
    <x v="1"/>
    <n v="96170776618"/>
    <s v="Fall  2023 - 2024"/>
    <n v="99"/>
    <n v="66"/>
    <n v="12"/>
    <n v="21"/>
    <n v="0.78787878787878785"/>
    <x v="0"/>
  </r>
  <r>
    <n v="62410014"/>
    <n v="207966"/>
    <s v="Chrisitne"/>
    <s v="Bechara"/>
    <s v="Tannous"/>
    <s v="Mount Lebanon"/>
    <x v="2"/>
    <x v="0"/>
    <x v="3"/>
    <x v="3"/>
    <x v="1"/>
    <n v="81264865"/>
    <s v="Spring  2023 - 2024"/>
    <n v="99"/>
    <n v="45"/>
    <n v="12"/>
    <n v="42"/>
    <n v="0.5757575757575758"/>
    <x v="0"/>
  </r>
  <r>
    <n v="62530069"/>
    <n v="220537"/>
    <s v="Christ"/>
    <s v="Ohannes"/>
    <s v="Kekej Adourian"/>
    <s v="Mount Lebanon"/>
    <x v="0"/>
    <x v="0"/>
    <x v="1"/>
    <x v="1"/>
    <x v="0"/>
    <n v="70184033"/>
    <s v="Fall  2025 - 2026"/>
    <n v="108"/>
    <n v="3"/>
    <n v="12"/>
    <n v="93"/>
    <n v="0.1388888888888889"/>
    <x v="1"/>
  </r>
  <r>
    <n v="62410058"/>
    <n v="208921"/>
    <s v="Christelle"/>
    <s v="Abdo"/>
    <s v="Abi Nassif"/>
    <s v="Mount Lebanon"/>
    <x v="2"/>
    <x v="0"/>
    <x v="3"/>
    <x v="3"/>
    <x v="1"/>
    <n v="96176896078"/>
    <s v="Spring  2023 - 2024"/>
    <n v="99"/>
    <n v="54"/>
    <n v="15"/>
    <n v="30"/>
    <n v="0.69696969696969702"/>
    <x v="0"/>
  </r>
  <r>
    <n v="62530142"/>
    <n v="222160"/>
    <s v="Christelle"/>
    <s v="Vasken"/>
    <s v="Bedrossian"/>
    <s v="Mount Lebanon"/>
    <x v="2"/>
    <x v="0"/>
    <x v="19"/>
    <x v="19"/>
    <x v="2"/>
    <n v="96170504377"/>
    <s v="Fall  2025 - 2026"/>
    <n v="99"/>
    <n v="0"/>
    <n v="13"/>
    <n v="94"/>
    <n v="0.13131313131313133"/>
    <x v="1"/>
  </r>
  <r>
    <n v="62230137"/>
    <n v="186441"/>
    <s v="Christen"/>
    <s v="Rabih"/>
    <s v="Sabbagh"/>
    <s v="Mount Lebanon"/>
    <x v="0"/>
    <x v="0"/>
    <x v="1"/>
    <x v="1"/>
    <x v="0"/>
    <n v="81188102"/>
    <s v="Fall  2022 - 2023"/>
    <n v="108"/>
    <n v="88"/>
    <n v="17"/>
    <n v="3"/>
    <n v="0.97222222222222221"/>
    <x v="0"/>
  </r>
  <r>
    <n v="62330289"/>
    <n v="204156"/>
    <s v="Christian"/>
    <s v="Bazz"/>
    <s v="Rached"/>
    <s v="Mount Lebanon"/>
    <x v="0"/>
    <x v="0"/>
    <x v="1"/>
    <x v="1"/>
    <x v="0"/>
    <n v="76389678"/>
    <s v="Fall  2023 - 2024"/>
    <n v="108"/>
    <n v="18"/>
    <n v="10"/>
    <n v="80"/>
    <n v="0.25925925925925924"/>
    <x v="1"/>
  </r>
  <r>
    <n v="62230381"/>
    <n v="193153"/>
    <s v="Christina"/>
    <s v="Antranik"/>
    <s v="Antounian"/>
    <s v="Mount Lebanon"/>
    <x v="2"/>
    <x v="0"/>
    <x v="17"/>
    <x v="17"/>
    <x v="2"/>
    <n v="96176749057"/>
    <s v="Fall  2022 - 2023"/>
    <n v="99"/>
    <n v="78"/>
    <n v="21"/>
    <n v="0"/>
    <n v="1"/>
    <x v="0"/>
  </r>
  <r>
    <n v="62530178"/>
    <n v="223897"/>
    <s v="Christina"/>
    <s v="Maher"/>
    <s v="Daou"/>
    <s v="Mount Lebanon"/>
    <x v="1"/>
    <x v="0"/>
    <x v="12"/>
    <x v="12"/>
    <x v="1"/>
    <n v="70544694"/>
    <s v="Fall  2025 - 2026"/>
    <n v="99"/>
    <n v="0"/>
    <n v="15"/>
    <n v="84"/>
    <n v="0.15151515151515152"/>
    <x v="1"/>
  </r>
  <r>
    <n v="62430237"/>
    <n v="214078"/>
    <s v="Christina"/>
    <s v="Sarkis"/>
    <s v="Haroutiounian"/>
    <s v="Mount Lebanon"/>
    <x v="1"/>
    <x v="0"/>
    <x v="15"/>
    <x v="15"/>
    <x v="1"/>
    <n v="96181838541"/>
    <s v="Fall  2024 - 2025"/>
    <n v="99"/>
    <n v="34"/>
    <n v="19"/>
    <n v="46"/>
    <n v="0.53535353535353536"/>
    <x v="0"/>
  </r>
  <r>
    <n v="62310024"/>
    <n v="197170"/>
    <s v="Christine"/>
    <s v="Hamid"/>
    <s v="Saad"/>
    <s v="Mount Lebanon"/>
    <x v="1"/>
    <x v="0"/>
    <x v="2"/>
    <x v="2"/>
    <x v="1"/>
    <n v="96176648667"/>
    <s v="Spring  2022 - 2023"/>
    <n v="99"/>
    <n v="42"/>
    <n v="6"/>
    <n v="51"/>
    <n v="0.48484848484848486"/>
    <x v="1"/>
  </r>
  <r>
    <n v="62320002"/>
    <n v="198498"/>
    <s v="Christine"/>
    <s v="Ohannes"/>
    <s v="Soukiassian"/>
    <s v="Mount Lebanon"/>
    <x v="2"/>
    <x v="0"/>
    <x v="6"/>
    <x v="6"/>
    <x v="1"/>
    <n v="70402701"/>
    <s v="Summer  2022 - 2023"/>
    <n v="99"/>
    <n v="60"/>
    <n v="12"/>
    <n v="27"/>
    <n v="0.72727272727272729"/>
    <x v="0"/>
  </r>
  <r>
    <n v="62430072"/>
    <n v="209715"/>
    <s v="Christo"/>
    <s v="Dany"/>
    <s v="Robert"/>
    <s v="Mount Lebanon"/>
    <x v="1"/>
    <x v="0"/>
    <x v="5"/>
    <x v="5"/>
    <x v="1"/>
    <n v="9613773115"/>
    <s v="Fall  2024 - 2025"/>
    <n v="100"/>
    <n v="12"/>
    <n v="10"/>
    <n v="78"/>
    <n v="0.22"/>
    <x v="1"/>
  </r>
  <r>
    <n v="62530027"/>
    <n v="219155"/>
    <s v="Christophe"/>
    <s v="Pierre"/>
    <s v="Al Issa"/>
    <s v="Mount Lebanon"/>
    <x v="2"/>
    <x v="0"/>
    <x v="22"/>
    <x v="22"/>
    <x v="1"/>
    <n v="81562586"/>
    <s v="Fall  2025 - 2026"/>
    <n v="99"/>
    <n v="3"/>
    <n v="18"/>
    <n v="78"/>
    <n v="0.21212121212121213"/>
    <x v="1"/>
  </r>
  <r>
    <n v="62430127"/>
    <n v="210604"/>
    <s v="Christopher"/>
    <s v="Michel"/>
    <s v="Hachem"/>
    <s v="Mount Lebanon"/>
    <x v="1"/>
    <x v="0"/>
    <x v="5"/>
    <x v="5"/>
    <x v="1"/>
    <n v="76320128"/>
    <s v="Fall  2024 - 2025"/>
    <n v="100"/>
    <n v="12"/>
    <n v="12"/>
    <n v="76"/>
    <n v="0.24"/>
    <x v="1"/>
  </r>
  <r>
    <n v="62130358"/>
    <n v="176436"/>
    <s v="Christopher"/>
    <s v="Rostom"/>
    <s v="Hagopian"/>
    <s v="Mount Lebanon"/>
    <x v="2"/>
    <x v="0"/>
    <x v="17"/>
    <x v="17"/>
    <x v="2"/>
    <n v="79118246"/>
    <s v="Fall  2021 - 2022"/>
    <n v="99"/>
    <n v="66"/>
    <n v="12"/>
    <n v="21"/>
    <n v="0.78787878787878785"/>
    <x v="0"/>
  </r>
  <r>
    <n v="62230326"/>
    <n v="191030"/>
    <s v="Christy"/>
    <s v="Elias"/>
    <s v="Novo"/>
    <s v="Mount Lebanon"/>
    <x v="1"/>
    <x v="0"/>
    <x v="2"/>
    <x v="2"/>
    <x v="1"/>
    <n v="76506039"/>
    <s v="Fall  2022 - 2023"/>
    <n v="99"/>
    <n v="72"/>
    <n v="6"/>
    <n v="21"/>
    <n v="0.78787878787878785"/>
    <x v="0"/>
  </r>
  <r>
    <n v="62530053"/>
    <n v="219373"/>
    <s v="Christy"/>
    <s v="Bechara"/>
    <s v="Saliba"/>
    <s v="Mount Lebanon"/>
    <x v="1"/>
    <x v="0"/>
    <x v="12"/>
    <x v="12"/>
    <x v="1"/>
    <n v="70395930"/>
    <s v="Fall  2025 - 2026"/>
    <n v="99"/>
    <n v="6"/>
    <n v="10"/>
    <n v="91"/>
    <n v="0.16161616161616163"/>
    <x v="1"/>
  </r>
  <r>
    <n v="62530268"/>
    <n v="226181"/>
    <s v="Clara"/>
    <s v="George"/>
    <s v="El Hajj"/>
    <s v="Mount Lebanon"/>
    <x v="0"/>
    <x v="0"/>
    <x v="16"/>
    <x v="16"/>
    <x v="0"/>
    <n v="81194540"/>
    <s v="Fall  2025 - 2026"/>
    <n v="108"/>
    <n v="18"/>
    <n v="15"/>
    <n v="75"/>
    <n v="0.30555555555555558"/>
    <x v="1"/>
  </r>
  <r>
    <n v="62330125"/>
    <n v="199868"/>
    <s v="Clara"/>
    <s v="Pierre"/>
    <s v="Farah"/>
    <s v="Mount Lebanon"/>
    <x v="1"/>
    <x v="0"/>
    <x v="5"/>
    <x v="5"/>
    <x v="1"/>
    <n v="76309591"/>
    <s v="Fall  2023 - 2024"/>
    <n v="100"/>
    <n v="43"/>
    <n v="15"/>
    <n v="42"/>
    <n v="0.57999999999999996"/>
    <x v="0"/>
  </r>
  <r>
    <n v="62230313"/>
    <n v="191025"/>
    <s v="Clara"/>
    <s v="Michel"/>
    <s v="Khairallah"/>
    <s v="Mount Lebanon"/>
    <x v="1"/>
    <x v="0"/>
    <x v="36"/>
    <x v="36"/>
    <x v="1"/>
    <n v="96171554272"/>
    <s v="Fall  2022 - 2023"/>
    <n v="108"/>
    <n v="42"/>
    <n v="9"/>
    <n v="57"/>
    <n v="0.47222222222222221"/>
    <x v="1"/>
  </r>
  <r>
    <n v="62330049"/>
    <n v="198747"/>
    <s v="Clara"/>
    <s v="Elias"/>
    <s v="Saliba"/>
    <s v="Mount Lebanon"/>
    <x v="1"/>
    <x v="0"/>
    <x v="2"/>
    <x v="2"/>
    <x v="1"/>
    <n v="81347488"/>
    <s v="Fall  2023 - 2024"/>
    <n v="99"/>
    <n v="69"/>
    <n v="9"/>
    <n v="21"/>
    <n v="0.78787878787878785"/>
    <x v="0"/>
  </r>
  <r>
    <n v="62330006"/>
    <n v="198773"/>
    <s v="Clarissa"/>
    <s v="Kassem"/>
    <s v="Kataya"/>
    <s v="Mount Lebanon"/>
    <x v="2"/>
    <x v="0"/>
    <x v="6"/>
    <x v="6"/>
    <x v="1"/>
    <n v="96176679977"/>
    <s v="Fall  2023 - 2024"/>
    <n v="99"/>
    <n v="54"/>
    <n v="18"/>
    <n v="27"/>
    <n v="0.72727272727272729"/>
    <x v="0"/>
  </r>
  <r>
    <n v="62330023"/>
    <n v="198779"/>
    <s v="Clarita"/>
    <s v="Fayez"/>
    <s v="Al Saghbini"/>
    <s v="Mount Lebanon"/>
    <x v="0"/>
    <x v="0"/>
    <x v="1"/>
    <x v="1"/>
    <x v="0"/>
    <n v="81394962"/>
    <s v="Fall  2023 - 2024"/>
    <n v="108"/>
    <n v="82"/>
    <n v="17"/>
    <n v="9"/>
    <n v="0.91666666666666663"/>
    <x v="0"/>
  </r>
  <r>
    <n v="62330116"/>
    <n v="201962"/>
    <s v="Clarita"/>
    <s v="Tanios"/>
    <s v="El Hawa"/>
    <s v="Mount Lebanon"/>
    <x v="1"/>
    <x v="0"/>
    <x v="23"/>
    <x v="23"/>
    <x v="2"/>
    <n v="70455730"/>
    <s v="Fall  2023 - 2024"/>
    <n v="99"/>
    <n v="38"/>
    <n v="11"/>
    <n v="50"/>
    <n v="0.49494949494949497"/>
    <x v="1"/>
  </r>
  <r>
    <n v="62430130"/>
    <n v="213791"/>
    <s v="Claritta"/>
    <s v="Tony"/>
    <s v="Gerges"/>
    <s v="Mount Lebanon"/>
    <x v="3"/>
    <x v="0"/>
    <x v="20"/>
    <x v="20"/>
    <x v="2"/>
    <n v="70448355"/>
    <s v="Fall  2024 - 2025"/>
    <n v="65"/>
    <n v="35"/>
    <n v="15"/>
    <n v="15"/>
    <n v="0.76923076923076927"/>
    <x v="0"/>
  </r>
  <r>
    <n v="62230406"/>
    <n v="193845"/>
    <s v="Cybele"/>
    <s v="Rabih"/>
    <s v="Nehme"/>
    <s v="Mount Lebanon"/>
    <x v="1"/>
    <x v="0"/>
    <x v="14"/>
    <x v="14"/>
    <x v="2"/>
    <n v="71607765"/>
    <s v="Fall  2022 - 2023"/>
    <n v="105"/>
    <n v="76"/>
    <n v="11"/>
    <n v="18"/>
    <n v="0.82857142857142863"/>
    <x v="0"/>
  </r>
  <r>
    <n v="62230208"/>
    <n v="188628"/>
    <s v="Cynthia"/>
    <s v="Joseph"/>
    <s v="Assaad"/>
    <s v="Mount Lebanon"/>
    <x v="1"/>
    <x v="0"/>
    <x v="8"/>
    <x v="8"/>
    <x v="2"/>
    <n v="70538878"/>
    <s v="Fall  2022 - 2023"/>
    <n v="99"/>
    <n v="36"/>
    <n v="12"/>
    <n v="51"/>
    <n v="0.48484848484848486"/>
    <x v="1"/>
  </r>
  <r>
    <n v="62130141"/>
    <n v="168632"/>
    <s v="Cynthia"/>
    <s v="Hagop"/>
    <s v="Hanno"/>
    <s v="Mount Lebanon"/>
    <x v="2"/>
    <x v="0"/>
    <x v="6"/>
    <x v="6"/>
    <x v="1"/>
    <n v="79157303"/>
    <s v="Fall  2021 - 2022"/>
    <n v="99"/>
    <n v="87"/>
    <n v="12"/>
    <n v="0"/>
    <n v="1"/>
    <x v="0"/>
  </r>
  <r>
    <n v="62330021"/>
    <n v="198752"/>
    <s v="Cynthia"/>
    <s v="Raffi"/>
    <s v="Markarian"/>
    <s v="Mount Lebanon"/>
    <x v="1"/>
    <x v="0"/>
    <x v="2"/>
    <x v="2"/>
    <x v="1"/>
    <n v="70253681"/>
    <s v="Fall  2023 - 2024"/>
    <n v="99"/>
    <n v="64"/>
    <n v="13"/>
    <n v="22"/>
    <n v="0.77777777777777779"/>
    <x v="0"/>
  </r>
  <r>
    <n v="62430086"/>
    <n v="210051"/>
    <s v="Dalia"/>
    <s v="Elias"/>
    <s v="Saliba"/>
    <s v="Mount Lebanon"/>
    <x v="1"/>
    <x v="0"/>
    <x v="2"/>
    <x v="2"/>
    <x v="1"/>
    <n v="76441545"/>
    <s v="Fall  2024 - 2025"/>
    <n v="99"/>
    <n v="37"/>
    <n v="16"/>
    <n v="46"/>
    <n v="0.53535353535353536"/>
    <x v="0"/>
  </r>
  <r>
    <n v="62130203"/>
    <n v="169398"/>
    <s v="Dana"/>
    <s v="Chady"/>
    <s v="Chawraba"/>
    <s v="Mount Lebanon"/>
    <x v="1"/>
    <x v="0"/>
    <x v="5"/>
    <x v="5"/>
    <x v="1"/>
    <n v="96176775992"/>
    <s v="Fall  2021 - 2022"/>
    <n v="100"/>
    <n v="97"/>
    <n v="3"/>
    <n v="0"/>
    <n v="1"/>
    <x v="0"/>
  </r>
  <r>
    <n v="62530160"/>
    <n v="222185"/>
    <s v="Dani"/>
    <s v="Ali"/>
    <s v="Moustafa"/>
    <s v="Mount Lebanon"/>
    <x v="0"/>
    <x v="0"/>
    <x v="18"/>
    <x v="18"/>
    <x v="0"/>
    <n v="96178722954"/>
    <s v="Fall  2025 - 2026"/>
    <n v="108"/>
    <n v="7"/>
    <n v="18"/>
    <n v="83"/>
    <n v="0.23148148148148148"/>
    <x v="1"/>
  </r>
  <r>
    <n v="62120018"/>
    <n v="166738"/>
    <s v="Daniel"/>
    <s v="Tarek"/>
    <s v="Ghraizi"/>
    <s v="Mount Lebanon"/>
    <x v="2"/>
    <x v="0"/>
    <x v="30"/>
    <x v="30"/>
    <x v="1"/>
    <n v="96170858201"/>
    <s v="Summer  2020 - 2021"/>
    <n v="99"/>
    <n v="75"/>
    <n v="15"/>
    <n v="9"/>
    <n v="0.90909090909090906"/>
    <x v="0"/>
  </r>
  <r>
    <n v="62530130"/>
    <n v="221042"/>
    <s v="Daniella"/>
    <s v="Elias"/>
    <s v="El Haddad"/>
    <s v="Mount Lebanon"/>
    <x v="1"/>
    <x v="0"/>
    <x v="26"/>
    <x v="26"/>
    <x v="1"/>
    <n v="96181675236"/>
    <s v="Fall  2025 - 2026"/>
    <n v="99"/>
    <n v="0"/>
    <n v="13"/>
    <n v="94"/>
    <n v="0.13131313131313133"/>
    <x v="1"/>
  </r>
  <r>
    <n v="62430277"/>
    <n v="216342"/>
    <s v="Dany"/>
    <s v="Khaldoun"/>
    <s v="Abdelkhalek"/>
    <s v="Mount Lebanon"/>
    <x v="2"/>
    <x v="0"/>
    <x v="9"/>
    <x v="9"/>
    <x v="1"/>
    <n v="96171575513"/>
    <s v="Fall  2024 - 2025"/>
    <n v="99"/>
    <n v="21"/>
    <n v="12"/>
    <n v="66"/>
    <n v="0.33333333333333331"/>
    <x v="1"/>
  </r>
  <r>
    <n v="62130204"/>
    <n v="216755"/>
    <s v="David"/>
    <s v="Antoun"/>
    <s v="Semaan"/>
    <s v="Mount Lebanon"/>
    <x v="1"/>
    <x v="0"/>
    <x v="5"/>
    <x v="5"/>
    <x v="1"/>
    <n v="96171236053"/>
    <s v="Fall  2024 - 2025"/>
    <n v="100"/>
    <n v="79"/>
    <n v="12"/>
    <n v="9"/>
    <n v="0.91"/>
    <x v="0"/>
  </r>
  <r>
    <n v="62230431"/>
    <n v="196675"/>
    <s v="Dayen"/>
    <s v="Tony"/>
    <s v="Wazen"/>
    <s v="Mount Lebanon"/>
    <x v="1"/>
    <x v="0"/>
    <x v="14"/>
    <x v="14"/>
    <x v="2"/>
    <n v="71764606"/>
    <s v="Fall  2022 - 2023"/>
    <n v="105"/>
    <n v="84"/>
    <n v="15"/>
    <n v="6"/>
    <n v="0.94285714285714284"/>
    <x v="0"/>
  </r>
  <r>
    <n v="62430238"/>
    <n v="215183"/>
    <s v="Despina"/>
    <s v="Rimon"/>
    <s v="Al Kawkabany"/>
    <s v="Mount Lebanon"/>
    <x v="2"/>
    <x v="0"/>
    <x v="6"/>
    <x v="6"/>
    <x v="1"/>
    <n v="79118087"/>
    <s v="Fall  2024 - 2025"/>
    <n v="99"/>
    <n v="30"/>
    <n v="12"/>
    <n v="57"/>
    <n v="0.42424242424242425"/>
    <x v="1"/>
  </r>
  <r>
    <n v="62530191"/>
    <n v="223884"/>
    <s v="Dia"/>
    <s v="Antoine"/>
    <s v="Baydoun"/>
    <s v="Mount Lebanon"/>
    <x v="4"/>
    <x v="0"/>
    <x v="37"/>
    <x v="37"/>
    <x v="1"/>
    <n v="96176553715"/>
    <s v="Fall  2025 - 2026"/>
    <n v="99"/>
    <n v="6"/>
    <n v="10"/>
    <n v="91"/>
    <n v="0.16161616161616163"/>
    <x v="1"/>
  </r>
  <r>
    <n v="62530019"/>
    <n v="219161"/>
    <s v="Diana"/>
    <s v="Kassem"/>
    <s v="Medlej"/>
    <s v="Mount Lebanon"/>
    <x v="1"/>
    <x v="0"/>
    <x v="28"/>
    <x v="28"/>
    <x v="2"/>
    <n v="96178736297"/>
    <s v="Fall  2025 - 2026"/>
    <n v="99"/>
    <n v="6"/>
    <n v="7"/>
    <n v="97"/>
    <n v="0.13131313131313133"/>
    <x v="1"/>
  </r>
  <r>
    <n v="62530197"/>
    <n v="223864"/>
    <s v="Dilano"/>
    <s v="Wahballah"/>
    <s v="Robil"/>
    <s v="Mount Lebanon"/>
    <x v="1"/>
    <x v="0"/>
    <x v="27"/>
    <x v="27"/>
    <x v="1"/>
    <n v="96179359299"/>
    <s v="Fall  2025 - 2026"/>
    <n v="108"/>
    <n v="9"/>
    <n v="12"/>
    <n v="87"/>
    <n v="0.19444444444444445"/>
    <x v="1"/>
  </r>
  <r>
    <n v="62330226"/>
    <n v="202709"/>
    <s v="Dima"/>
    <s v="Hikmat"/>
    <s v="Cheaib"/>
    <s v="Mount Lebanon"/>
    <x v="1"/>
    <x v="0"/>
    <x v="8"/>
    <x v="8"/>
    <x v="2"/>
    <n v="3369943"/>
    <s v="Fall  2023 - 2024"/>
    <n v="99"/>
    <n v="54"/>
    <n v="15"/>
    <n v="30"/>
    <n v="0.69696969696969702"/>
    <x v="0"/>
  </r>
  <r>
    <n v="62530216"/>
    <n v="224522"/>
    <s v="Dounia"/>
    <s v="Jamal"/>
    <s v="Sayed"/>
    <s v="Mount Lebanon"/>
    <x v="1"/>
    <x v="0"/>
    <x v="23"/>
    <x v="23"/>
    <x v="2"/>
    <n v="81516058"/>
    <s v="Fall  2025 - 2026"/>
    <n v="99"/>
    <n v="6"/>
    <n v="11"/>
    <n v="82"/>
    <n v="0.17171717171717171"/>
    <x v="1"/>
  </r>
  <r>
    <n v="62530200"/>
    <n v="224505"/>
    <s v="Eddy"/>
    <s v="Sarkis"/>
    <s v="Dabourian"/>
    <s v="Mount Lebanon"/>
    <x v="2"/>
    <x v="0"/>
    <x v="33"/>
    <x v="33"/>
    <x v="1"/>
    <n v="96176817854"/>
    <s v="Fall  2025 - 2026"/>
    <n v="99"/>
    <n v="0"/>
    <n v="16"/>
    <n v="87"/>
    <n v="0.16161616161616163"/>
    <x v="1"/>
  </r>
  <r>
    <n v="62530199"/>
    <n v="224553"/>
    <s v="Eddy"/>
    <s v="Missak"/>
    <s v="Dakarmanjian"/>
    <s v="Mount Lebanon"/>
    <x v="2"/>
    <x v="0"/>
    <x v="9"/>
    <x v="9"/>
    <x v="1"/>
    <n v="96181775661"/>
    <s v="Fall  2025 - 2026"/>
    <n v="99"/>
    <n v="0"/>
    <n v="13"/>
    <n v="90"/>
    <n v="0.13131313131313133"/>
    <x v="1"/>
  </r>
  <r>
    <n v="62530090"/>
    <n v="224568"/>
    <s v="Eid"/>
    <s v="Elias"/>
    <s v="Saliba"/>
    <s v="Mount Lebanon"/>
    <x v="2"/>
    <x v="0"/>
    <x v="22"/>
    <x v="22"/>
    <x v="1"/>
    <n v="71755155"/>
    <s v="Fall  2025 - 2026"/>
    <n v="99"/>
    <n v="9"/>
    <n v="18"/>
    <n v="72"/>
    <n v="0.27272727272727271"/>
    <x v="1"/>
  </r>
  <r>
    <n v="62530154"/>
    <n v="222148"/>
    <s v="Elena"/>
    <s v="Hagop"/>
    <s v="Edeyan"/>
    <s v="Mount Lebanon"/>
    <x v="2"/>
    <x v="0"/>
    <x v="11"/>
    <x v="11"/>
    <x v="1"/>
    <n v="96181611465"/>
    <s v="Fall  2025 - 2026"/>
    <n v="99"/>
    <n v="0"/>
    <n v="13"/>
    <n v="94"/>
    <n v="0.13131313131313133"/>
    <x v="1"/>
  </r>
  <r>
    <n v="62510046"/>
    <n v="218048"/>
    <s v="Elena"/>
    <s v="Zaki"/>
    <s v="Kazzaz"/>
    <s v="Mount Lebanon"/>
    <x v="4"/>
    <x v="0"/>
    <x v="37"/>
    <x v="37"/>
    <x v="1"/>
    <n v="76134945"/>
    <s v="Spring  2024 - 2025"/>
    <n v="99"/>
    <n v="27"/>
    <n v="18"/>
    <n v="54"/>
    <n v="0.45454545454545453"/>
    <x v="1"/>
  </r>
  <r>
    <n v="62310047"/>
    <n v="197821"/>
    <s v="Elia"/>
    <s v="Nicolas"/>
    <s v="Bou Sleiman"/>
    <s v="Mount Lebanon"/>
    <x v="1"/>
    <x v="0"/>
    <x v="5"/>
    <x v="5"/>
    <x v="1"/>
    <n v="76559095"/>
    <s v="Spring  2022 - 2023"/>
    <n v="100"/>
    <n v="50"/>
    <n v="12"/>
    <n v="38"/>
    <n v="0.62"/>
    <x v="0"/>
  </r>
  <r>
    <n v="62530018"/>
    <n v="219158"/>
    <s v="Eliana"/>
    <s v="Kassem"/>
    <s v="Medlej"/>
    <s v="Mount Lebanon"/>
    <x v="1"/>
    <x v="0"/>
    <x v="4"/>
    <x v="4"/>
    <x v="2"/>
    <n v="96171161420"/>
    <s v="Fall  2025 - 2026"/>
    <n v="105"/>
    <n v="6"/>
    <n v="10"/>
    <n v="103"/>
    <n v="0.15238095238095239"/>
    <x v="1"/>
  </r>
  <r>
    <n v="62230162"/>
    <n v="187265"/>
    <s v="Eliana"/>
    <s v="Dani"/>
    <s v="Raad"/>
    <s v="Mount Lebanon"/>
    <x v="1"/>
    <x v="0"/>
    <x v="5"/>
    <x v="5"/>
    <x v="1"/>
    <n v="96171512401"/>
    <s v="Fall  2022 - 2023"/>
    <n v="100"/>
    <n v="66"/>
    <n v="15"/>
    <n v="19"/>
    <n v="0.81"/>
    <x v="0"/>
  </r>
  <r>
    <n v="62330233"/>
    <n v="203251"/>
    <s v="Elias"/>
    <s v="Moussa"/>
    <s v="Al Achkar"/>
    <s v="Mount Lebanon"/>
    <x v="0"/>
    <x v="0"/>
    <x v="1"/>
    <x v="1"/>
    <x v="0"/>
    <n v="76408740"/>
    <s v="Fall  2023 - 2024"/>
    <n v="108"/>
    <n v="63"/>
    <n v="11"/>
    <n v="34"/>
    <n v="0.68518518518518523"/>
    <x v="0"/>
  </r>
  <r>
    <n v="62530031"/>
    <n v="219164"/>
    <s v="Elias"/>
    <s v="Rabih"/>
    <s v="Al Haddad"/>
    <s v="Mount Lebanon"/>
    <x v="2"/>
    <x v="0"/>
    <x v="33"/>
    <x v="33"/>
    <x v="1"/>
    <n v="9610000000"/>
    <s v="Fall  2025 - 2026"/>
    <n v="99"/>
    <n v="6"/>
    <n v="10"/>
    <n v="87"/>
    <n v="0.16161616161616163"/>
    <x v="1"/>
  </r>
  <r>
    <n v="62230378"/>
    <n v="193147"/>
    <s v="Elias"/>
    <s v="Antoine"/>
    <s v="Assaf"/>
    <s v="Mount Lebanon"/>
    <x v="1"/>
    <x v="0"/>
    <x v="5"/>
    <x v="5"/>
    <x v="1"/>
    <n v="96181015452"/>
    <s v="Fall  2022 - 2023"/>
    <n v="100"/>
    <n v="84"/>
    <n v="13"/>
    <n v="3"/>
    <n v="0.97"/>
    <x v="0"/>
  </r>
  <r>
    <n v="62530050"/>
    <n v="219382"/>
    <s v="Elias"/>
    <s v="Fayez"/>
    <s v="Atallah"/>
    <s v="Mount Lebanon"/>
    <x v="2"/>
    <x v="0"/>
    <x v="11"/>
    <x v="11"/>
    <x v="1"/>
    <n v="96171484232"/>
    <s v="Fall  2025 - 2026"/>
    <n v="99"/>
    <n v="3"/>
    <n v="13"/>
    <n v="91"/>
    <n v="0.16161616161616163"/>
    <x v="1"/>
  </r>
  <r>
    <n v="62330127"/>
    <n v="199855"/>
    <s v="Elias"/>
    <s v="Hanna"/>
    <s v="El Murr"/>
    <s v="Mount Lebanon"/>
    <x v="2"/>
    <x v="0"/>
    <x v="17"/>
    <x v="17"/>
    <x v="2"/>
    <n v="70290980"/>
    <s v="Fall  2023 - 2024"/>
    <n v="99"/>
    <n v="54"/>
    <n v="15"/>
    <n v="30"/>
    <n v="0.69696969696969702"/>
    <x v="0"/>
  </r>
  <r>
    <n v="62430299"/>
    <n v="215971"/>
    <s v="Elias"/>
    <s v="Gerges"/>
    <s v="Fahed"/>
    <s v="Mount Lebanon"/>
    <x v="2"/>
    <x v="0"/>
    <x v="10"/>
    <x v="10"/>
    <x v="1"/>
    <n v="81219425"/>
    <s v="Fall  2024 - 2025"/>
    <n v="99"/>
    <n v="60"/>
    <n v="15"/>
    <n v="24"/>
    <n v="0.75757575757575757"/>
    <x v="0"/>
  </r>
  <r>
    <n v="62510023"/>
    <n v="217971"/>
    <s v="Elias"/>
    <s v="Antoin"/>
    <s v="Ghaleb"/>
    <s v="Mount Lebanon"/>
    <x v="2"/>
    <x v="0"/>
    <x v="11"/>
    <x v="11"/>
    <x v="1"/>
    <n v="71761516"/>
    <s v="Spring  2024 - 2025"/>
    <n v="99"/>
    <n v="9"/>
    <n v="12"/>
    <n v="78"/>
    <n v="0.21212121212121213"/>
    <x v="1"/>
  </r>
  <r>
    <n v="62430041"/>
    <n v="209483"/>
    <s v="Elias"/>
    <s v="Mtanios"/>
    <s v="Ghosn"/>
    <s v="Mount Lebanon"/>
    <x v="0"/>
    <x v="0"/>
    <x v="1"/>
    <x v="1"/>
    <x v="0"/>
    <n v="79197769"/>
    <s v="Fall  2024 - 2025"/>
    <n v="108"/>
    <n v="9"/>
    <n v="13"/>
    <n v="93"/>
    <n v="0.20370370370370369"/>
    <x v="1"/>
  </r>
  <r>
    <n v="62430078"/>
    <n v="209738"/>
    <s v="Elias"/>
    <s v="Nicholas"/>
    <s v="Matta"/>
    <s v="Mount Lebanon"/>
    <x v="0"/>
    <x v="0"/>
    <x v="16"/>
    <x v="16"/>
    <x v="0"/>
    <n v="96181614445"/>
    <s v="Fall  2024 - 2025"/>
    <n v="108"/>
    <n v="22"/>
    <n v="13"/>
    <n v="73"/>
    <n v="0.32407407407407407"/>
    <x v="1"/>
  </r>
  <r>
    <n v="62230341"/>
    <n v="191046"/>
    <s v="Elias"/>
    <s v="Gaby"/>
    <s v="Saliba"/>
    <s v="Mount Lebanon"/>
    <x v="2"/>
    <x v="0"/>
    <x v="7"/>
    <x v="7"/>
    <x v="1"/>
    <n v="76139108"/>
    <s v="Fall  2022 - 2023"/>
    <n v="99"/>
    <n v="84"/>
    <n v="15"/>
    <n v="0"/>
    <n v="1"/>
    <x v="0"/>
  </r>
  <r>
    <n v="62430165"/>
    <n v="214321"/>
    <s v="Elie"/>
    <s v="Abdallah"/>
    <s v="Abi Chebel"/>
    <s v="Mount Lebanon"/>
    <x v="2"/>
    <x v="0"/>
    <x v="7"/>
    <x v="7"/>
    <x v="1"/>
    <n v="96170573949"/>
    <s v="Fall  2024 - 2025"/>
    <n v="99"/>
    <n v="9"/>
    <n v="12"/>
    <n v="78"/>
    <n v="0.21212121212121213"/>
    <x v="1"/>
  </r>
  <r>
    <n v="61930258"/>
    <n v="144549"/>
    <s v="Elie"/>
    <s v="Fady"/>
    <s v="Abou Chahine"/>
    <s v="Mount Lebanon"/>
    <x v="0"/>
    <x v="0"/>
    <x v="16"/>
    <x v="16"/>
    <x v="0"/>
    <n v="79126344"/>
    <s v="Fall  2019 - 2020"/>
    <n v="108"/>
    <n v="56"/>
    <n v="3"/>
    <n v="49"/>
    <n v="0.54629629629629628"/>
    <x v="0"/>
  </r>
  <r>
    <n v="62430115"/>
    <n v="210665"/>
    <s v="Elie"/>
    <s v="Rabih"/>
    <s v="Demiane"/>
    <s v="Mount Lebanon"/>
    <x v="2"/>
    <x v="0"/>
    <x v="7"/>
    <x v="7"/>
    <x v="1"/>
    <n v="96170888405"/>
    <s v="Fall  2024 - 2025"/>
    <n v="99"/>
    <n v="27"/>
    <n v="15"/>
    <n v="57"/>
    <n v="0.42424242424242425"/>
    <x v="1"/>
  </r>
  <r>
    <n v="62530257"/>
    <n v="225291"/>
    <s v="Elie"/>
    <s v="Pierre"/>
    <s v="El Alam"/>
    <s v="Mount Lebanon"/>
    <x v="1"/>
    <x v="0"/>
    <x v="35"/>
    <x v="35"/>
    <x v="1"/>
    <n v="70481560"/>
    <s v="Fall  2025 - 2026"/>
    <n v="99"/>
    <n v="3"/>
    <n v="18"/>
    <n v="79"/>
    <n v="0.21212121212121213"/>
    <x v="1"/>
  </r>
  <r>
    <n v="62430332"/>
    <n v="217174"/>
    <s v="Elie"/>
    <s v="Jean"/>
    <s v="Fakhry"/>
    <s v="Mount Lebanon"/>
    <x v="1"/>
    <x v="0"/>
    <x v="5"/>
    <x v="5"/>
    <x v="1"/>
    <n v="70279907"/>
    <s v="Fall  2024 - 2025"/>
    <n v="100"/>
    <n v="75"/>
    <n v="13"/>
    <n v="12"/>
    <n v="0.88"/>
    <x v="0"/>
  </r>
  <r>
    <n v="62530278"/>
    <n v="226795"/>
    <s v="Elie"/>
    <s v="Kamil"/>
    <s v="Habche"/>
    <s v="Mount Lebanon"/>
    <x v="0"/>
    <x v="0"/>
    <x v="16"/>
    <x v="16"/>
    <x v="0"/>
    <n v="96178998102"/>
    <s v="Fall  2025 - 2026"/>
    <n v="108"/>
    <n v="3"/>
    <n v="13"/>
    <n v="103"/>
    <n v="0.14814814814814814"/>
    <x v="1"/>
  </r>
  <r>
    <n v="62130345"/>
    <n v="176111"/>
    <s v="Elie"/>
    <s v="Lahoud"/>
    <s v="Lahoud"/>
    <s v="Mount Lebanon"/>
    <x v="0"/>
    <x v="0"/>
    <x v="29"/>
    <x v="29"/>
    <x v="0"/>
    <n v="76313696"/>
    <s v="Fall  2021 - 2022"/>
    <n v="108"/>
    <n v="35"/>
    <n v="12"/>
    <n v="61"/>
    <n v="0.43518518518518517"/>
    <x v="1"/>
  </r>
  <r>
    <n v="62330075"/>
    <n v="199057"/>
    <s v="Elie"/>
    <s v="Maroun"/>
    <s v="Najjar"/>
    <s v="Mount Lebanon"/>
    <x v="2"/>
    <x v="0"/>
    <x v="6"/>
    <x v="6"/>
    <x v="1"/>
    <n v="96176592101"/>
    <s v="Fall  2023 - 2024"/>
    <n v="99"/>
    <n v="84"/>
    <n v="15"/>
    <n v="0"/>
    <n v="1"/>
    <x v="0"/>
  </r>
  <r>
    <n v="62330201"/>
    <n v="202571"/>
    <s v="Elie"/>
    <s v="Richard"/>
    <s v="Obeid"/>
    <s v="Mount Lebanon"/>
    <x v="2"/>
    <x v="0"/>
    <x v="9"/>
    <x v="9"/>
    <x v="1"/>
    <n v="96179119863"/>
    <s v="Fall  2023 - 2024"/>
    <n v="99"/>
    <n v="18"/>
    <n v="15"/>
    <n v="66"/>
    <n v="0.33333333333333331"/>
    <x v="1"/>
  </r>
  <r>
    <n v="62330368"/>
    <n v="226857"/>
    <s v="Elie"/>
    <s v="Joseph"/>
    <s v="Saade"/>
    <s v="Mount Lebanon"/>
    <x v="2"/>
    <x v="0"/>
    <x v="33"/>
    <x v="33"/>
    <x v="1"/>
    <n v="81160931"/>
    <s v="Fall  2025 - 2026"/>
    <n v="99"/>
    <n v="3"/>
    <n v="12"/>
    <n v="3"/>
    <n v="0.15151515151515152"/>
    <x v="1"/>
  </r>
  <r>
    <n v="62330168"/>
    <n v="200572"/>
    <s v="Elie"/>
    <s v="Michel"/>
    <s v="Saliba"/>
    <s v="Mount Lebanon"/>
    <x v="2"/>
    <x v="0"/>
    <x v="6"/>
    <x v="6"/>
    <x v="1"/>
    <n v="3188097"/>
    <s v="Fall  2023 - 2024"/>
    <n v="99"/>
    <n v="57"/>
    <n v="12"/>
    <n v="30"/>
    <n v="0.69696969696969702"/>
    <x v="0"/>
  </r>
  <r>
    <n v="62330084"/>
    <n v="199857"/>
    <s v="Elie"/>
    <s v="Mikhael"/>
    <s v="Saliba"/>
    <s v="Mount Lebanon"/>
    <x v="2"/>
    <x v="0"/>
    <x v="6"/>
    <x v="6"/>
    <x v="1"/>
    <n v="70299086"/>
    <s v="Fall  2023 - 2024"/>
    <n v="99"/>
    <n v="39"/>
    <n v="9"/>
    <n v="51"/>
    <n v="0.48484848484848486"/>
    <x v="1"/>
  </r>
  <r>
    <n v="62510006"/>
    <n v="217806"/>
    <s v="Elio"/>
    <s v="Marcel"/>
    <s v="Al Kahali"/>
    <s v="Mount Lebanon"/>
    <x v="0"/>
    <x v="0"/>
    <x v="1"/>
    <x v="1"/>
    <x v="0"/>
    <n v="96170838068"/>
    <s v="Spring  2024 - 2025"/>
    <n v="108"/>
    <n v="28"/>
    <n v="18"/>
    <n v="62"/>
    <n v="0.42592592592592593"/>
    <x v="1"/>
  </r>
  <r>
    <n v="62530280"/>
    <n v="226801"/>
    <s v="Elio"/>
    <s v="Joseph"/>
    <s v="Aoun"/>
    <s v="Mount Lebanon"/>
    <x v="1"/>
    <x v="0"/>
    <x v="35"/>
    <x v="35"/>
    <x v="1"/>
    <n v="3407432"/>
    <s v="Fall  2025 - 2026"/>
    <n v="99"/>
    <n v="0"/>
    <n v="8"/>
    <n v="103"/>
    <n v="8.0808080808080815E-2"/>
    <x v="1"/>
  </r>
  <r>
    <n v="62530109"/>
    <n v="220479"/>
    <s v="Elio"/>
    <s v="Dany"/>
    <s v="Mansour"/>
    <s v="Mount Lebanon"/>
    <x v="2"/>
    <x v="0"/>
    <x v="9"/>
    <x v="9"/>
    <x v="1"/>
    <n v="76124182"/>
    <s v="Fall  2025 - 2026"/>
    <n v="99"/>
    <n v="15"/>
    <n v="15"/>
    <n v="69"/>
    <n v="0.30303030303030304"/>
    <x v="1"/>
  </r>
  <r>
    <n v="62410004"/>
    <n v="207958"/>
    <s v="Elio"/>
    <s v="Nicolas"/>
    <s v="Matar"/>
    <s v="Mount Lebanon"/>
    <x v="0"/>
    <x v="0"/>
    <x v="16"/>
    <x v="16"/>
    <x v="0"/>
    <n v="96171330080"/>
    <s v="Spring  2023 - 2024"/>
    <n v="108"/>
    <n v="47"/>
    <n v="16"/>
    <n v="45"/>
    <n v="0.58333333333333337"/>
    <x v="0"/>
  </r>
  <r>
    <n v="62530037"/>
    <n v="222142"/>
    <s v="Elissa"/>
    <s v="Hagop"/>
    <s v="Edeyan"/>
    <s v="Mount Lebanon"/>
    <x v="2"/>
    <x v="0"/>
    <x v="11"/>
    <x v="11"/>
    <x v="1"/>
    <n v="96178809236"/>
    <s v="Fall  2025 - 2026"/>
    <n v="99"/>
    <n v="0"/>
    <n v="13"/>
    <n v="94"/>
    <n v="0.13131313131313133"/>
    <x v="1"/>
  </r>
  <r>
    <n v="62310018"/>
    <n v="196953"/>
    <s v="Elissa"/>
    <s v="Georges"/>
    <s v="Nassar"/>
    <s v="Mount Lebanon"/>
    <x v="2"/>
    <x v="0"/>
    <x v="3"/>
    <x v="3"/>
    <x v="1"/>
    <n v="76491096"/>
    <s v="Spring  2022 - 2023"/>
    <n v="99"/>
    <n v="57"/>
    <n v="6"/>
    <n v="36"/>
    <n v="0.63636363636363635"/>
    <x v="0"/>
  </r>
  <r>
    <n v="62330144"/>
    <n v="199819"/>
    <s v="Elissa"/>
    <s v="Houssein"/>
    <s v="Tay"/>
    <s v="Mount Lebanon"/>
    <x v="1"/>
    <x v="0"/>
    <x v="8"/>
    <x v="8"/>
    <x v="2"/>
    <n v="81248201"/>
    <s v="Fall  2023 - 2024"/>
    <n v="99"/>
    <n v="58"/>
    <n v="13"/>
    <n v="28"/>
    <n v="0.71717171717171713"/>
    <x v="0"/>
  </r>
  <r>
    <n v="62430132"/>
    <n v="213412"/>
    <s v="Elsa"/>
    <s v="Michel"/>
    <s v="Barakat Rahmeh"/>
    <s v="Mount Lebanon"/>
    <x v="0"/>
    <x v="0"/>
    <x v="13"/>
    <x v="13"/>
    <x v="0"/>
    <n v="96178849500"/>
    <s v="Fall  2024 - 2025"/>
    <n v="108"/>
    <n v="49"/>
    <n v="13"/>
    <n v="46"/>
    <n v="0.57407407407407407"/>
    <x v="0"/>
  </r>
  <r>
    <n v="62530010"/>
    <n v="224961"/>
    <s v="Elssa"/>
    <s v="Camille"/>
    <s v="Ibrahim"/>
    <s v="Mount Lebanon"/>
    <x v="3"/>
    <x v="0"/>
    <x v="20"/>
    <x v="20"/>
    <x v="2"/>
    <n v="96171886589"/>
    <s v="Fall  2025 - 2026"/>
    <n v="65"/>
    <n v="39"/>
    <n v="18"/>
    <n v="8"/>
    <n v="0.87692307692307692"/>
    <x v="0"/>
  </r>
  <r>
    <n v="62430291"/>
    <n v="215600"/>
    <s v="Elsy"/>
    <s v="Bassam"/>
    <s v="Homsi"/>
    <s v="Mount Lebanon"/>
    <x v="1"/>
    <x v="0"/>
    <x v="8"/>
    <x v="8"/>
    <x v="2"/>
    <n v="96176731007"/>
    <s v="Fall  2024 - 2025"/>
    <n v="99"/>
    <n v="48"/>
    <n v="15"/>
    <n v="36"/>
    <n v="0.63636363636363635"/>
    <x v="0"/>
  </r>
  <r>
    <n v="62310027"/>
    <n v="197319"/>
    <s v="Elya"/>
    <s v="Wassim"/>
    <s v="Boutros"/>
    <s v="Mount Lebanon"/>
    <x v="1"/>
    <x v="0"/>
    <x v="14"/>
    <x v="14"/>
    <x v="2"/>
    <n v="71013818"/>
    <s v="Spring  2022 - 2023"/>
    <n v="105"/>
    <n v="75"/>
    <n v="9"/>
    <n v="21"/>
    <n v="0.8"/>
    <x v="0"/>
  </r>
  <r>
    <n v="62130245"/>
    <n v="171263"/>
    <s v="Emile"/>
    <s v="Khalil"/>
    <s v="Eid"/>
    <s v="Mount Lebanon"/>
    <x v="1"/>
    <x v="0"/>
    <x v="5"/>
    <x v="5"/>
    <x v="1"/>
    <n v="96171547484"/>
    <s v="Fall  2021 - 2022"/>
    <n v="100"/>
    <n v="41"/>
    <n v="12"/>
    <n v="47"/>
    <n v="0.53"/>
    <x v="0"/>
  </r>
  <r>
    <n v="62130529"/>
    <n v="191703"/>
    <s v="Emmanuelle"/>
    <s v="Iskandar"/>
    <s v="Ammanouil"/>
    <s v="Mount Lebanon"/>
    <x v="1"/>
    <x v="0"/>
    <x v="38"/>
    <x v="38"/>
    <x v="1"/>
    <n v="96176669976"/>
    <s v="Fall  2021 - 2022"/>
    <n v="108"/>
    <n v="75"/>
    <n v="9"/>
    <n v="24"/>
    <n v="0.77777777777777779"/>
    <x v="0"/>
  </r>
  <r>
    <n v="62530251"/>
    <n v="225565"/>
    <s v="Erika"/>
    <s v="Hanna"/>
    <s v="Younes"/>
    <s v="Mount Lebanon"/>
    <x v="2"/>
    <x v="0"/>
    <x v="11"/>
    <x v="11"/>
    <x v="1"/>
    <n v="76494679"/>
    <s v="Fall  2025 - 2026"/>
    <n v="99"/>
    <n v="6"/>
    <n v="13"/>
    <n v="84"/>
    <n v="0.19191919191919191"/>
    <x v="1"/>
  </r>
  <r>
    <n v="62330038"/>
    <n v="198761"/>
    <s v="Esthere"/>
    <s v="Andre"/>
    <s v="Haber"/>
    <s v="Mount Lebanon"/>
    <x v="1"/>
    <x v="0"/>
    <x v="8"/>
    <x v="8"/>
    <x v="2"/>
    <n v="96170206308"/>
    <s v="Fall  2023 - 2024"/>
    <n v="99"/>
    <n v="79"/>
    <n v="20"/>
    <n v="0"/>
    <n v="1"/>
    <x v="0"/>
  </r>
  <r>
    <n v="62430206"/>
    <n v="213405"/>
    <s v="Fadi"/>
    <s v="Ata"/>
    <s v="Atwi"/>
    <s v="Mount Lebanon"/>
    <x v="1"/>
    <x v="0"/>
    <x v="5"/>
    <x v="5"/>
    <x v="1"/>
    <n v="70241624"/>
    <s v="Fall  2024 - 2025"/>
    <n v="100"/>
    <n v="35"/>
    <n v="18"/>
    <n v="47"/>
    <n v="0.53"/>
    <x v="0"/>
  </r>
  <r>
    <n v="62230161"/>
    <n v="189104"/>
    <s v="Fady"/>
    <s v="Rabih"/>
    <s v="Daou"/>
    <s v="Mount Lebanon"/>
    <x v="2"/>
    <x v="0"/>
    <x v="6"/>
    <x v="6"/>
    <x v="1"/>
    <n v="70515194"/>
    <s v="Fall  2022 - 2023"/>
    <n v="99"/>
    <n v="66"/>
    <n v="15"/>
    <n v="18"/>
    <n v="0.81818181818181823"/>
    <x v="0"/>
  </r>
  <r>
    <n v="61830209"/>
    <n v="197874"/>
    <s v="Farid"/>
    <s v="Elias"/>
    <s v="Ziade"/>
    <s v="Mount Lebanon"/>
    <x v="1"/>
    <x v="0"/>
    <x v="5"/>
    <x v="5"/>
    <x v="1"/>
    <n v="81269687"/>
    <s v="Spring  2022 - 2023"/>
    <n v="100"/>
    <n v="88"/>
    <n v="12"/>
    <n v="0"/>
    <n v="1"/>
    <x v="0"/>
  </r>
  <r>
    <n v="62430096"/>
    <n v="210066"/>
    <s v="Fatima"/>
    <s v="Hasan"/>
    <s v="Al Hek"/>
    <s v="Mount Lebanon"/>
    <x v="1"/>
    <x v="0"/>
    <x v="14"/>
    <x v="14"/>
    <x v="2"/>
    <n v="71679607"/>
    <s v="Fall  2024 - 2025"/>
    <n v="105"/>
    <n v="25"/>
    <n v="9"/>
    <n v="71"/>
    <n v="0.32380952380952382"/>
    <x v="1"/>
  </r>
  <r>
    <n v="62430231"/>
    <n v="213349"/>
    <s v="Fatima"/>
    <s v="Issam"/>
    <s v="Ramadan"/>
    <s v="Mount Lebanon"/>
    <x v="2"/>
    <x v="0"/>
    <x v="6"/>
    <x v="6"/>
    <x v="1"/>
    <n v="96181014721"/>
    <s v="Fall  2024 - 2025"/>
    <n v="99"/>
    <n v="15"/>
    <n v="18"/>
    <n v="66"/>
    <n v="0.33333333333333331"/>
    <x v="1"/>
  </r>
  <r>
    <n v="62530072"/>
    <n v="221841"/>
    <s v="Fatima"/>
    <s v="Mohammad"/>
    <s v="Zeinddine"/>
    <s v="Mount Lebanon"/>
    <x v="3"/>
    <x v="0"/>
    <x v="20"/>
    <x v="20"/>
    <x v="2"/>
    <n v="96181819090"/>
    <s v="Fall  2025 - 2026"/>
    <n v="65"/>
    <n v="9"/>
    <n v="18"/>
    <n v="42"/>
    <n v="0.41538461538461541"/>
    <x v="1"/>
  </r>
  <r>
    <n v="62530071"/>
    <n v="221965"/>
    <s v="Fidaa"/>
    <s v="Ahmad"/>
    <s v="Noun"/>
    <s v="Mount Lebanon"/>
    <x v="3"/>
    <x v="0"/>
    <x v="20"/>
    <x v="20"/>
    <x v="2"/>
    <n v="96181287268"/>
    <s v="Fall  2025 - 2026"/>
    <n v="65"/>
    <n v="9"/>
    <n v="14"/>
    <n v="42"/>
    <n v="0.35384615384615387"/>
    <x v="1"/>
  </r>
  <r>
    <n v="62530024"/>
    <n v="219812"/>
    <s v="Fidan"/>
    <s v="Farouk"/>
    <s v="Mohamad"/>
    <s v="Mount Lebanon"/>
    <x v="1"/>
    <x v="0"/>
    <x v="4"/>
    <x v="4"/>
    <x v="2"/>
    <n v="81152134"/>
    <s v="Fall  2025 - 2026"/>
    <n v="105"/>
    <n v="7"/>
    <n v="14"/>
    <n v="84"/>
    <n v="0.2"/>
    <x v="1"/>
  </r>
  <r>
    <n v="62530074"/>
    <n v="225351"/>
    <s v="Fouad"/>
    <s v="Assaad"/>
    <s v="Ghanem"/>
    <s v="Mount Lebanon"/>
    <x v="3"/>
    <x v="0"/>
    <x v="20"/>
    <x v="20"/>
    <x v="2"/>
    <n v="9613450555"/>
    <s v="Fall  2025 - 2026"/>
    <n v="65"/>
    <n v="12"/>
    <n v="11"/>
    <n v="42"/>
    <n v="0.35384615384615387"/>
    <x v="1"/>
  </r>
  <r>
    <n v="62330164"/>
    <n v="201180"/>
    <s v="Francesco"/>
    <s v="Michel"/>
    <s v="Khairallah"/>
    <s v="Mount Lebanon"/>
    <x v="0"/>
    <x v="0"/>
    <x v="29"/>
    <x v="29"/>
    <x v="0"/>
    <n v="96181017106"/>
    <s v="Fall  2023 - 2024"/>
    <n v="108"/>
    <n v="53"/>
    <n v="14"/>
    <n v="41"/>
    <n v="0.62037037037037035"/>
    <x v="0"/>
  </r>
  <r>
    <n v="62430278"/>
    <n v="215248"/>
    <s v="Francois"/>
    <s v="Antoine"/>
    <s v="Abi Karam"/>
    <s v="Mount Lebanon"/>
    <x v="0"/>
    <x v="0"/>
    <x v="1"/>
    <x v="1"/>
    <x v="0"/>
    <n v="96171492118"/>
    <s v="Fall  2024 - 2025"/>
    <n v="108"/>
    <n v="37"/>
    <n v="14"/>
    <n v="57"/>
    <n v="0.47222222222222221"/>
    <x v="1"/>
  </r>
  <r>
    <n v="62330044"/>
    <n v="199883"/>
    <s v="Frederic"/>
    <s v="Mtanios"/>
    <s v="Al Ahmar"/>
    <s v="Mount Lebanon"/>
    <x v="1"/>
    <x v="0"/>
    <x v="15"/>
    <x v="15"/>
    <x v="1"/>
    <n v="96178959369"/>
    <s v="Fall  2023 - 2024"/>
    <n v="99"/>
    <n v="52"/>
    <n v="16"/>
    <n v="31"/>
    <n v="0.68686868686868685"/>
    <x v="0"/>
  </r>
  <r>
    <n v="62530214"/>
    <n v="224567"/>
    <s v="Frida"/>
    <s v="Elias"/>
    <s v="Razzouk"/>
    <s v="Mount Lebanon"/>
    <x v="2"/>
    <x v="0"/>
    <x v="22"/>
    <x v="22"/>
    <x v="1"/>
    <n v="96170974614"/>
    <s v="Fall  2025 - 2026"/>
    <n v="99"/>
    <n v="3"/>
    <n v="13"/>
    <n v="91"/>
    <n v="0.16161616161616163"/>
    <x v="1"/>
  </r>
  <r>
    <n v="62430173"/>
    <n v="212205"/>
    <s v="Gabriel"/>
    <s v="Marwan"/>
    <s v="Ghandour"/>
    <s v="Mount Lebanon"/>
    <x v="2"/>
    <x v="0"/>
    <x v="7"/>
    <x v="7"/>
    <x v="1"/>
    <n v="76350783"/>
    <s v="Fall  2024 - 2025"/>
    <n v="99"/>
    <n v="36"/>
    <n v="15"/>
    <n v="48"/>
    <n v="0.51515151515151514"/>
    <x v="0"/>
  </r>
  <r>
    <n v="62430047"/>
    <n v="209482"/>
    <s v="Gaelle"/>
    <s v="Geryes"/>
    <s v="Abi Khers"/>
    <s v="Mount Lebanon"/>
    <x v="2"/>
    <x v="0"/>
    <x v="6"/>
    <x v="6"/>
    <x v="1"/>
    <n v="96176899957"/>
    <s v="Fall  2024 - 2025"/>
    <n v="99"/>
    <n v="45"/>
    <n v="18"/>
    <n v="36"/>
    <n v="0.63636363636363635"/>
    <x v="0"/>
  </r>
  <r>
    <n v="62510012"/>
    <n v="217792"/>
    <s v="Gaelle"/>
    <s v="Spiro"/>
    <s v="El Murr"/>
    <s v="Mount Lebanon"/>
    <x v="1"/>
    <x v="0"/>
    <x v="12"/>
    <x v="12"/>
    <x v="1"/>
    <n v="96178936897"/>
    <s v="Spring  2024 - 2025"/>
    <n v="99"/>
    <n v="21"/>
    <n v="18"/>
    <n v="60"/>
    <n v="0.39393939393939392"/>
    <x v="1"/>
  </r>
  <r>
    <n v="62430017"/>
    <n v="209300"/>
    <s v="Garabed"/>
    <s v="Elias"/>
    <s v="Sajian"/>
    <s v="Mount Lebanon"/>
    <x v="2"/>
    <x v="0"/>
    <x v="6"/>
    <x v="6"/>
    <x v="1"/>
    <n v="76335151"/>
    <s v="Fall  2024 - 2025"/>
    <n v="99"/>
    <n v="3"/>
    <n v="13"/>
    <n v="91"/>
    <n v="0.16161616161616163"/>
    <x v="1"/>
  </r>
  <r>
    <n v="62430229"/>
    <n v="215187"/>
    <s v="Garen"/>
    <s v="Nazareth"/>
    <s v="Bahnasilian"/>
    <s v="Mount Lebanon"/>
    <x v="1"/>
    <x v="0"/>
    <x v="15"/>
    <x v="15"/>
    <x v="1"/>
    <n v="96170167333"/>
    <s v="Fall  2024 - 2025"/>
    <n v="99"/>
    <n v="48"/>
    <n v="9"/>
    <n v="42"/>
    <n v="0.5757575757575758"/>
    <x v="0"/>
  </r>
  <r>
    <n v="62230186"/>
    <n v="187648"/>
    <s v="Garen"/>
    <s v="Bedros"/>
    <s v="Boyadjian"/>
    <s v="Mount Lebanon"/>
    <x v="3"/>
    <x v="0"/>
    <x v="20"/>
    <x v="20"/>
    <x v="2"/>
    <n v="76149148"/>
    <s v="Fall  2022 - 2023"/>
    <n v="65"/>
    <n v="8"/>
    <n v="14"/>
    <n v="43"/>
    <n v="0.33846153846153848"/>
    <x v="1"/>
  </r>
  <r>
    <n v="62030127"/>
    <n v="153375"/>
    <s v="Garen"/>
    <s v="Zareh"/>
    <s v="Boyajian"/>
    <s v="Mount Lebanon"/>
    <x v="1"/>
    <x v="0"/>
    <x v="38"/>
    <x v="38"/>
    <x v="1"/>
    <n v="79163926"/>
    <s v="Fall  2020 - 2021"/>
    <n v="108"/>
    <n v="39"/>
    <n v="12"/>
    <n v="57"/>
    <n v="0.47222222222222221"/>
    <x v="1"/>
  </r>
  <r>
    <n v="62330269"/>
    <n v="204217"/>
    <s v="Garen"/>
    <s v="Vagharshag"/>
    <s v="Houssigian"/>
    <s v="Mount Lebanon"/>
    <x v="1"/>
    <x v="0"/>
    <x v="5"/>
    <x v="5"/>
    <x v="1"/>
    <n v="96176921228"/>
    <s v="Fall  2023 - 2024"/>
    <n v="100"/>
    <n v="31"/>
    <n v="10"/>
    <n v="59"/>
    <n v="0.41"/>
    <x v="1"/>
  </r>
  <r>
    <n v="62430329"/>
    <n v="216909"/>
    <s v="Garen"/>
    <s v="Elias"/>
    <s v="Nercessian"/>
    <s v="Mount Lebanon"/>
    <x v="5"/>
    <x v="0"/>
    <x v="39"/>
    <x v="39"/>
    <x v="1"/>
    <n v="81548093"/>
    <s v="Fall  2024 - 2025"/>
    <n v="31"/>
    <n v="0"/>
    <n v="13"/>
    <n v="21"/>
    <n v="0.41935483870967744"/>
    <x v="1"/>
  </r>
  <r>
    <n v="62430141"/>
    <n v="210624"/>
    <s v="Garine"/>
    <s v="Zareh"/>
    <s v="Joulfayan"/>
    <s v="Mount Lebanon"/>
    <x v="4"/>
    <x v="0"/>
    <x v="37"/>
    <x v="37"/>
    <x v="1"/>
    <n v="81532833"/>
    <s v="Fall  2024 - 2025"/>
    <n v="99"/>
    <n v="30"/>
    <n v="18"/>
    <n v="51"/>
    <n v="0.48484848484848486"/>
    <x v="1"/>
  </r>
  <r>
    <n v="62530195"/>
    <n v="223456"/>
    <s v="Garo"/>
    <s v="Keork"/>
    <s v="Mawaian"/>
    <s v="Mount Lebanon"/>
    <x v="1"/>
    <x v="0"/>
    <x v="12"/>
    <x v="12"/>
    <x v="1"/>
    <n v="96181656118"/>
    <s v="Fall  2025 - 2026"/>
    <n v="99"/>
    <n v="9"/>
    <n v="18"/>
    <n v="72"/>
    <n v="0.27272727272727271"/>
    <x v="1"/>
  </r>
  <r>
    <n v="62410015"/>
    <n v="207969"/>
    <s v="Garo"/>
    <s v="Ohannes"/>
    <s v="Tavitian"/>
    <s v="Mount Lebanon"/>
    <x v="2"/>
    <x v="0"/>
    <x v="7"/>
    <x v="7"/>
    <x v="1"/>
    <n v="96181651311"/>
    <s v="Spring  2023 - 2024"/>
    <n v="99"/>
    <n v="54"/>
    <n v="12"/>
    <n v="33"/>
    <n v="0.66666666666666663"/>
    <x v="0"/>
  </r>
  <r>
    <n v="62430107"/>
    <n v="210050"/>
    <s v="Garo Roy"/>
    <s v="Raffi"/>
    <s v="Colian"/>
    <s v="Mount Lebanon"/>
    <x v="2"/>
    <x v="0"/>
    <x v="7"/>
    <x v="7"/>
    <x v="1"/>
    <n v="96170696382"/>
    <s v="Fall  2024 - 2025"/>
    <n v="99"/>
    <n v="27"/>
    <n v="12"/>
    <n v="60"/>
    <n v="0.39393939393939392"/>
    <x v="1"/>
  </r>
  <r>
    <n v="62510025"/>
    <n v="217818"/>
    <s v="Gars"/>
    <s v="Khatchig"/>
    <s v="Kelian"/>
    <s v="Mount Lebanon"/>
    <x v="2"/>
    <x v="0"/>
    <x v="9"/>
    <x v="9"/>
    <x v="1"/>
    <n v="96181404275"/>
    <s v="Spring  2024 - 2025"/>
    <n v="99"/>
    <n v="60"/>
    <n v="18"/>
    <n v="24"/>
    <n v="0.78787878787878785"/>
    <x v="0"/>
  </r>
  <r>
    <n v="62330163"/>
    <n v="200563"/>
    <s v="Gars"/>
    <s v="Vahe"/>
    <s v="Manoukian"/>
    <s v="Mount Lebanon"/>
    <x v="2"/>
    <x v="0"/>
    <x v="7"/>
    <x v="7"/>
    <x v="1"/>
    <n v="76541377"/>
    <s v="Fall  2023 - 2024"/>
    <n v="99"/>
    <n v="72"/>
    <n v="15"/>
    <n v="12"/>
    <n v="0.87878787878787878"/>
    <x v="0"/>
  </r>
  <r>
    <n v="62430023"/>
    <n v="209298"/>
    <s v="Gary"/>
    <s v="Varoujan"/>
    <s v="Dekermenjian"/>
    <s v="Mount Lebanon"/>
    <x v="2"/>
    <x v="0"/>
    <x v="17"/>
    <x v="17"/>
    <x v="2"/>
    <n v="96170075142"/>
    <s v="Fall  2024 - 2025"/>
    <n v="99"/>
    <n v="21"/>
    <n v="12"/>
    <n v="66"/>
    <n v="0.33333333333333331"/>
    <x v="1"/>
  </r>
  <r>
    <n v="62410006"/>
    <n v="207980"/>
    <s v="Gary Karo"/>
    <s v="Krikor"/>
    <s v="Bachkjian"/>
    <s v="Mount Lebanon"/>
    <x v="0"/>
    <x v="0"/>
    <x v="16"/>
    <x v="16"/>
    <x v="0"/>
    <n v="70208307"/>
    <s v="Spring  2023 - 2024"/>
    <n v="108"/>
    <n v="47"/>
    <n v="12"/>
    <n v="49"/>
    <n v="0.54629629629629628"/>
    <x v="0"/>
  </r>
  <r>
    <n v="62230154"/>
    <n v="186439"/>
    <s v="George"/>
    <s v="Elias"/>
    <s v="Alkhouri"/>
    <s v="Mount Lebanon"/>
    <x v="1"/>
    <x v="0"/>
    <x v="5"/>
    <x v="5"/>
    <x v="1"/>
    <n v="79154084"/>
    <s v="Fall  2022 - 2023"/>
    <n v="100"/>
    <n v="90"/>
    <n v="10"/>
    <n v="0"/>
    <n v="1"/>
    <x v="0"/>
  </r>
  <r>
    <n v="62530224"/>
    <n v="224562"/>
    <s v="George"/>
    <s v="Pierre"/>
    <s v="Froussine"/>
    <s v="Mount Lebanon"/>
    <x v="2"/>
    <x v="0"/>
    <x v="9"/>
    <x v="9"/>
    <x v="1"/>
    <n v="96181422171"/>
    <s v="Fall  2025 - 2026"/>
    <n v="99"/>
    <n v="0"/>
    <n v="12"/>
    <n v="87"/>
    <n v="0.12121212121212122"/>
    <x v="1"/>
  </r>
  <r>
    <n v="62420009"/>
    <n v="209237"/>
    <s v="George"/>
    <s v="Krikor"/>
    <s v="Levonian"/>
    <s v="Mount Lebanon"/>
    <x v="1"/>
    <x v="0"/>
    <x v="5"/>
    <x v="5"/>
    <x v="1"/>
    <n v="3529877"/>
    <s v="Summer  2023 - 2024"/>
    <n v="100"/>
    <n v="82"/>
    <n v="18"/>
    <n v="0"/>
    <n v="1"/>
    <x v="0"/>
  </r>
  <r>
    <n v="62230006"/>
    <n v="186440"/>
    <s v="George"/>
    <s v="Milad"/>
    <s v="Wehbe"/>
    <s v="Mount Lebanon"/>
    <x v="0"/>
    <x v="0"/>
    <x v="1"/>
    <x v="1"/>
    <x v="0"/>
    <n v="76546893"/>
    <s v="Fall  2022 - 2023"/>
    <n v="108"/>
    <n v="15"/>
    <n v="13"/>
    <n v="80"/>
    <n v="0.25925925925925924"/>
    <x v="1"/>
  </r>
  <r>
    <n v="62130181"/>
    <n v="168627"/>
    <s v="Georges"/>
    <s v="Fares"/>
    <s v="Abou Fares"/>
    <s v="Mount Lebanon"/>
    <x v="0"/>
    <x v="0"/>
    <x v="1"/>
    <x v="1"/>
    <x v="0"/>
    <n v="71080421"/>
    <s v="Fall  2021 - 2022"/>
    <n v="108"/>
    <n v="31"/>
    <n v="9"/>
    <n v="68"/>
    <n v="0.37037037037037035"/>
    <x v="1"/>
  </r>
  <r>
    <n v="22130959"/>
    <n v="174977"/>
    <s v="Georges"/>
    <s v="Charbel"/>
    <s v="Mikhael"/>
    <s v="Mount Lebanon"/>
    <x v="2"/>
    <x v="0"/>
    <x v="17"/>
    <x v="17"/>
    <x v="2"/>
    <n v="71099282"/>
    <s v="Fall  2021 - 2022"/>
    <n v="99"/>
    <n v="78"/>
    <n v="12"/>
    <n v="9"/>
    <n v="0.90909090909090906"/>
    <x v="0"/>
  </r>
  <r>
    <n v="62330050"/>
    <n v="198760"/>
    <s v="Georges"/>
    <s v="Youssef"/>
    <s v="Nawfal"/>
    <s v="Mount Lebanon"/>
    <x v="1"/>
    <x v="0"/>
    <x v="5"/>
    <x v="5"/>
    <x v="1"/>
    <n v="3498614"/>
    <s v="Fall  2023 - 2024"/>
    <n v="100"/>
    <n v="78"/>
    <n v="19"/>
    <n v="3"/>
    <n v="0.97"/>
    <x v="0"/>
  </r>
  <r>
    <n v="62430178"/>
    <n v="212221"/>
    <s v="Georges"/>
    <s v="Mansour"/>
    <s v="Njeim"/>
    <s v="Mount Lebanon"/>
    <x v="2"/>
    <x v="0"/>
    <x v="6"/>
    <x v="6"/>
    <x v="1"/>
    <n v="81281625"/>
    <s v="Fall  2024 - 2025"/>
    <n v="99"/>
    <n v="18"/>
    <n v="13"/>
    <n v="72"/>
    <n v="0.31313131313131315"/>
    <x v="1"/>
  </r>
  <r>
    <n v="62330217"/>
    <n v="202632"/>
    <s v="Georgette"/>
    <s v="Sami"/>
    <s v="Fakhoury"/>
    <s v="Mount Lebanon"/>
    <x v="1"/>
    <x v="0"/>
    <x v="5"/>
    <x v="5"/>
    <x v="1"/>
    <n v="96181558994"/>
    <s v="Fall  2023 - 2024"/>
    <n v="100"/>
    <n v="18"/>
    <n v="16"/>
    <n v="66"/>
    <n v="0.34"/>
    <x v="1"/>
  </r>
  <r>
    <n v="62530207"/>
    <n v="223909"/>
    <s v="Georgio"/>
    <s v="Joseph"/>
    <s v="El Hachem"/>
    <s v="Mount Lebanon"/>
    <x v="2"/>
    <x v="0"/>
    <x v="33"/>
    <x v="33"/>
    <x v="1"/>
    <n v="3123779"/>
    <s v="Fall  2025 - 2026"/>
    <n v="99"/>
    <n v="3"/>
    <n v="12"/>
    <n v="84"/>
    <n v="0.15151515151515152"/>
    <x v="1"/>
  </r>
  <r>
    <n v="62410018"/>
    <n v="208215"/>
    <s v="Georgio"/>
    <s v="Toni"/>
    <s v="El Hossni"/>
    <s v="Mount Lebanon"/>
    <x v="1"/>
    <x v="0"/>
    <x v="5"/>
    <x v="5"/>
    <x v="1"/>
    <n v="71688628"/>
    <s v="Spring  2023 - 2024"/>
    <n v="100"/>
    <n v="63"/>
    <n v="12"/>
    <n v="25"/>
    <n v="0.75"/>
    <x v="0"/>
  </r>
  <r>
    <n v="62530227"/>
    <n v="224529"/>
    <s v="Geovani"/>
    <s v="Samir"/>
    <s v="Al Bitar"/>
    <s v="Mount Lebanon"/>
    <x v="2"/>
    <x v="0"/>
    <x v="22"/>
    <x v="22"/>
    <x v="1"/>
    <n v="96176982112"/>
    <s v="Fall  2025 - 2026"/>
    <n v="99"/>
    <n v="0"/>
    <n v="7"/>
    <n v="99"/>
    <n v="7.0707070707070704E-2"/>
    <x v="1"/>
  </r>
  <r>
    <n v="62030377"/>
    <n v="160990"/>
    <s v="Ghadi"/>
    <s v="Antoun"/>
    <s v="Mitri"/>
    <s v="Mount Lebanon"/>
    <x v="1"/>
    <x v="0"/>
    <x v="5"/>
    <x v="5"/>
    <x v="1"/>
    <n v="70548109"/>
    <s v="Fall  2020 - 2021"/>
    <n v="100"/>
    <n v="93"/>
    <n v="7"/>
    <n v="0"/>
    <n v="1"/>
    <x v="0"/>
  </r>
  <r>
    <n v="62530078"/>
    <n v="219801"/>
    <s v="Ghady"/>
    <s v="Ghassan"/>
    <s v="Bou Rjeily"/>
    <s v="Mount Lebanon"/>
    <x v="2"/>
    <x v="0"/>
    <x v="9"/>
    <x v="9"/>
    <x v="1"/>
    <n v="76384969"/>
    <s v="Fall  2025 - 2026"/>
    <n v="99"/>
    <n v="15"/>
    <n v="18"/>
    <n v="66"/>
    <n v="0.33333333333333331"/>
    <x v="1"/>
  </r>
  <r>
    <n v="62510019"/>
    <n v="217693"/>
    <s v="Ghena"/>
    <s v="Naeem"/>
    <s v="Zailaa"/>
    <s v="Mount Lebanon"/>
    <x v="2"/>
    <x v="0"/>
    <x v="19"/>
    <x v="19"/>
    <x v="2"/>
    <n v="71863445"/>
    <s v="Spring  2024 - 2025"/>
    <n v="99"/>
    <n v="18"/>
    <n v="15"/>
    <n v="66"/>
    <n v="0.33333333333333331"/>
    <x v="1"/>
  </r>
  <r>
    <n v="62430251"/>
    <n v="214097"/>
    <s v="Ghiwa"/>
    <s v="Haroon"/>
    <s v="Eskandar"/>
    <s v="Mount Lebanon"/>
    <x v="1"/>
    <x v="0"/>
    <x v="2"/>
    <x v="2"/>
    <x v="1"/>
    <n v="81482057"/>
    <s v="Fall  2024 - 2025"/>
    <n v="99"/>
    <n v="15"/>
    <n v="12"/>
    <n v="72"/>
    <n v="0.27272727272727271"/>
    <x v="1"/>
  </r>
  <r>
    <n v="62310015"/>
    <n v="196947"/>
    <s v="Gloria"/>
    <s v="Chafic"/>
    <s v="Ziade"/>
    <s v="Mount Lebanon"/>
    <x v="2"/>
    <x v="0"/>
    <x v="3"/>
    <x v="3"/>
    <x v="1"/>
    <n v="81297185"/>
    <s v="Spring  2022 - 2023"/>
    <n v="99"/>
    <n v="63"/>
    <n v="15"/>
    <n v="21"/>
    <n v="0.78787878787878785"/>
    <x v="0"/>
  </r>
  <r>
    <n v="62410030"/>
    <n v="208212"/>
    <s v="Gorune"/>
    <s v="Khatchig"/>
    <s v="Kelian"/>
    <s v="Mount Lebanon"/>
    <x v="2"/>
    <x v="0"/>
    <x v="6"/>
    <x v="6"/>
    <x v="1"/>
    <n v="96178931938"/>
    <s v="Spring  2023 - 2024"/>
    <n v="99"/>
    <n v="69"/>
    <n v="18"/>
    <n v="12"/>
    <n v="0.87878787878787878"/>
    <x v="0"/>
  </r>
  <r>
    <n v="62430102"/>
    <n v="210052"/>
    <s v="Grace"/>
    <s v="Raffi"/>
    <s v="Khandjian"/>
    <s v="Mount Lebanon"/>
    <x v="4"/>
    <x v="0"/>
    <x v="31"/>
    <x v="31"/>
    <x v="2"/>
    <n v="71074847"/>
    <s v="Fall  2024 - 2025"/>
    <n v="99"/>
    <n v="30"/>
    <n v="12"/>
    <n v="57"/>
    <n v="0.42424242424242425"/>
    <x v="1"/>
  </r>
  <r>
    <n v="62330051"/>
    <n v="199056"/>
    <s v="Grace"/>
    <s v="Vatche"/>
    <s v="Nercessian"/>
    <s v="Mount Lebanon"/>
    <x v="2"/>
    <x v="0"/>
    <x v="3"/>
    <x v="3"/>
    <x v="1"/>
    <n v="76185723"/>
    <s v="Fall  2023 - 2024"/>
    <n v="99"/>
    <n v="84"/>
    <n v="15"/>
    <n v="0"/>
    <n v="1"/>
    <x v="0"/>
  </r>
  <r>
    <n v="62530134"/>
    <n v="220986"/>
    <s v="Greg"/>
    <s v="Krikor"/>
    <s v="Sevadjian"/>
    <s v="Mount Lebanon"/>
    <x v="5"/>
    <x v="0"/>
    <x v="39"/>
    <x v="39"/>
    <x v="1"/>
    <n v="71836825"/>
    <s v="Fall  2025 - 2026"/>
    <n v="31"/>
    <n v="16"/>
    <n v="15"/>
    <n v="0"/>
    <n v="1"/>
    <x v="0"/>
  </r>
  <r>
    <n v="62330224"/>
    <n v="203170"/>
    <s v="Guya"/>
    <s v="Jean"/>
    <s v="Tarabay"/>
    <s v="Mount Lebanon"/>
    <x v="1"/>
    <x v="0"/>
    <x v="8"/>
    <x v="8"/>
    <x v="2"/>
    <n v="9613927129"/>
    <s v="Fall  2023 - 2024"/>
    <n v="99"/>
    <n v="62"/>
    <n v="13"/>
    <n v="24"/>
    <n v="0.75757575757575757"/>
    <x v="0"/>
  </r>
  <r>
    <n v="62430131"/>
    <n v="212449"/>
    <s v="Habib"/>
    <s v="Kozhaya"/>
    <s v="Awad"/>
    <s v="Mount Lebanon"/>
    <x v="1"/>
    <x v="0"/>
    <x v="5"/>
    <x v="5"/>
    <x v="1"/>
    <n v="96171484792"/>
    <s v="Fall  2024 - 2025"/>
    <n v="100"/>
    <n v="27"/>
    <n v="10"/>
    <n v="63"/>
    <n v="0.37"/>
    <x v="1"/>
  </r>
  <r>
    <n v="62230377"/>
    <n v="193104"/>
    <s v="Hadi"/>
    <s v="Imad"/>
    <s v="Gerges"/>
    <s v="Mount Lebanon"/>
    <x v="2"/>
    <x v="0"/>
    <x v="3"/>
    <x v="3"/>
    <x v="1"/>
    <n v="81208919"/>
    <s v="Fall  2022 - 2023"/>
    <n v="99"/>
    <n v="90"/>
    <n v="12"/>
    <n v="0"/>
    <n v="1.0303030303030303"/>
    <x v="0"/>
  </r>
  <r>
    <n v="62610032"/>
    <n v="227695"/>
    <s v="Hadi"/>
    <s v="Ali"/>
    <s v="Jaber"/>
    <s v="Mount Lebanon"/>
    <x v="1"/>
    <x v="0"/>
    <x v="12"/>
    <x v="12"/>
    <x v="1"/>
    <n v="96179115883"/>
    <s v="Spring  2025 - 2026"/>
    <n v="99"/>
    <n v="0"/>
    <n v="12"/>
    <n v="93"/>
    <n v="0.12121212121212122"/>
    <x v="1"/>
  </r>
  <r>
    <n v="62030350"/>
    <n v="160110"/>
    <s v="Hadi"/>
    <s v="Ghassan"/>
    <s v="Laham"/>
    <s v="Mount Lebanon"/>
    <x v="2"/>
    <x v="0"/>
    <x v="6"/>
    <x v="6"/>
    <x v="1"/>
    <n v="70314987"/>
    <s v="Fall  2020 - 2021"/>
    <n v="99"/>
    <n v="93"/>
    <n v="6"/>
    <n v="0"/>
    <n v="1"/>
    <x v="0"/>
  </r>
  <r>
    <n v="62430314"/>
    <n v="216776"/>
    <s v="Hady"/>
    <s v="Mohammad"/>
    <s v="Awad"/>
    <s v="Mount Lebanon"/>
    <x v="0"/>
    <x v="0"/>
    <x v="1"/>
    <x v="1"/>
    <x v="0"/>
    <n v="81376445"/>
    <s v="Fall  2024 - 2025"/>
    <n v="108"/>
    <n v="37"/>
    <n v="15"/>
    <n v="56"/>
    <n v="0.48148148148148145"/>
    <x v="1"/>
  </r>
  <r>
    <n v="62530049"/>
    <n v="220529"/>
    <s v="Hagop Aram"/>
    <s v="Aram"/>
    <s v="Mafakian"/>
    <s v="Mount Lebanon"/>
    <x v="2"/>
    <x v="0"/>
    <x v="11"/>
    <x v="11"/>
    <x v="1"/>
    <n v="71058127"/>
    <s v="Fall  2025 - 2026"/>
    <n v="99"/>
    <n v="12"/>
    <n v="12"/>
    <n v="75"/>
    <n v="0.24242424242424243"/>
    <x v="1"/>
  </r>
  <r>
    <n v="62530256"/>
    <n v="225558"/>
    <s v="Hanan"/>
    <s v="Aziz"/>
    <s v="Nour El Dine"/>
    <s v="Mount Lebanon"/>
    <x v="1"/>
    <x v="0"/>
    <x v="27"/>
    <x v="27"/>
    <x v="1"/>
    <n v="96181985302"/>
    <s v="Fall  2025 - 2026"/>
    <n v="108"/>
    <n v="9"/>
    <n v="13"/>
    <n v="94"/>
    <n v="0.20370370370370369"/>
    <x v="1"/>
  </r>
  <r>
    <n v="61730263"/>
    <n v="121352"/>
    <s v="Hani"/>
    <s v="Akram"/>
    <s v="Abi Hussein"/>
    <s v="Mount Lebanon"/>
    <x v="1"/>
    <x v="0"/>
    <x v="15"/>
    <x v="15"/>
    <x v="1"/>
    <n v="79117862"/>
    <s v="Fall  2017 - 2018"/>
    <n v="99"/>
    <n v="93"/>
    <n v="6"/>
    <n v="0"/>
    <n v="1"/>
    <x v="0"/>
  </r>
  <r>
    <n v="62530162"/>
    <n v="222882"/>
    <s v="Hanine"/>
    <s v="Hassan"/>
    <s v="Fala"/>
    <s v="Mount Lebanon"/>
    <x v="1"/>
    <x v="0"/>
    <x v="12"/>
    <x v="12"/>
    <x v="1"/>
    <n v="96178738216"/>
    <s v="Fall  2025 - 2026"/>
    <n v="99"/>
    <n v="0"/>
    <n v="10"/>
    <n v="97"/>
    <n v="0.10101010101010101"/>
    <x v="1"/>
  </r>
  <r>
    <n v="62130221"/>
    <n v="169882"/>
    <s v="Harout"/>
    <s v="Sarkis"/>
    <s v="Sarkissian"/>
    <s v="Mount Lebanon"/>
    <x v="2"/>
    <x v="0"/>
    <x v="32"/>
    <x v="32"/>
    <x v="1"/>
    <n v="79130935"/>
    <s v="Fall  2021 - 2022"/>
    <n v="99"/>
    <n v="78"/>
    <n v="15"/>
    <n v="6"/>
    <n v="0.93939393939393945"/>
    <x v="0"/>
  </r>
  <r>
    <n v="62530234"/>
    <n v="224498"/>
    <s v="Hasan"/>
    <s v="Ibrahim"/>
    <s v="Khalifeh"/>
    <s v="Mount Lebanon"/>
    <x v="2"/>
    <x v="0"/>
    <x v="11"/>
    <x v="11"/>
    <x v="1"/>
    <n v="96170879938"/>
    <s v="Fall  2025 - 2026"/>
    <n v="99"/>
    <n v="9"/>
    <n v="12"/>
    <n v="78"/>
    <n v="0.21212121212121213"/>
    <x v="1"/>
  </r>
  <r>
    <n v="62430163"/>
    <n v="213383"/>
    <s v="Hassan"/>
    <s v="Iyad"/>
    <s v="Blaybel"/>
    <s v="Mount Lebanon"/>
    <x v="2"/>
    <x v="0"/>
    <x v="7"/>
    <x v="7"/>
    <x v="1"/>
    <n v="96176616089"/>
    <s v="Fall  2024 - 2025"/>
    <n v="99"/>
    <n v="30"/>
    <n v="9"/>
    <n v="60"/>
    <n v="0.39393939393939392"/>
    <x v="1"/>
  </r>
  <r>
    <n v="62530282"/>
    <n v="226855"/>
    <s v="Hassan"/>
    <s v="Khoder"/>
    <s v="Driss"/>
    <s v="Mount Lebanon"/>
    <x v="0"/>
    <x v="0"/>
    <x v="29"/>
    <x v="29"/>
    <x v="0"/>
    <n v="96170700568"/>
    <s v="Fall  2025 - 2026"/>
    <n v="108"/>
    <n v="6"/>
    <n v="11"/>
    <n v="106"/>
    <n v="0.15740740740740741"/>
    <x v="1"/>
  </r>
  <r>
    <n v="62130352"/>
    <n v="173453"/>
    <s v="Hassib"/>
    <s v="Miled"/>
    <s v="El Hajj"/>
    <s v="Mount Lebanon"/>
    <x v="1"/>
    <x v="0"/>
    <x v="5"/>
    <x v="5"/>
    <x v="1"/>
    <n v="70336108"/>
    <s v="Fall  2021 - 2022"/>
    <n v="100"/>
    <n v="75"/>
    <n v="12"/>
    <n v="13"/>
    <n v="0.87"/>
    <x v="0"/>
  </r>
  <r>
    <n v="62510063"/>
    <n v="226348"/>
    <s v="Helena"/>
    <s v="Andre"/>
    <s v="El Khalil"/>
    <s v="Mount Lebanon"/>
    <x v="3"/>
    <x v="0"/>
    <x v="20"/>
    <x v="20"/>
    <x v="2"/>
    <n v="96171564560"/>
    <s v="Spring  2024 - 2025"/>
    <n v="65"/>
    <n v="46"/>
    <n v="14"/>
    <n v="5"/>
    <n v="0.92307692307692313"/>
    <x v="0"/>
  </r>
  <r>
    <n v="62530114"/>
    <n v="220444"/>
    <s v="Helena"/>
    <s v="Raffi"/>
    <s v="Keshishian"/>
    <s v="Mount Lebanon"/>
    <x v="2"/>
    <x v="0"/>
    <x v="22"/>
    <x v="22"/>
    <x v="1"/>
    <n v="9613801475"/>
    <s v="Fall  2025 - 2026"/>
    <n v="99"/>
    <n v="0"/>
    <n v="12"/>
    <n v="90"/>
    <n v="0.12121212121212122"/>
    <x v="1"/>
  </r>
  <r>
    <n v="62430151"/>
    <n v="211496"/>
    <s v="Helena"/>
    <s v="Carlos"/>
    <s v="Tannous"/>
    <s v="Mount Lebanon"/>
    <x v="2"/>
    <x v="0"/>
    <x v="33"/>
    <x v="33"/>
    <x v="1"/>
    <n v="76156890"/>
    <s v="Fall  2024 - 2025"/>
    <n v="99"/>
    <n v="42"/>
    <n v="15"/>
    <n v="42"/>
    <n v="0.5757575757575758"/>
    <x v="0"/>
  </r>
  <r>
    <n v="62330288"/>
    <n v="204227"/>
    <s v="Hiba"/>
    <s v="Hussain"/>
    <s v="Al Jasem"/>
    <s v="Mount Lebanon"/>
    <x v="2"/>
    <x v="0"/>
    <x v="3"/>
    <x v="3"/>
    <x v="1"/>
    <n v="96170059179"/>
    <s v="Fall  2023 - 2024"/>
    <n v="99"/>
    <n v="30"/>
    <n v="12"/>
    <n v="57"/>
    <n v="0.42424242424242425"/>
    <x v="1"/>
  </r>
  <r>
    <n v="62530222"/>
    <n v="224602"/>
    <s v="Houthaifa"/>
    <s v="Imad"/>
    <s v="Al Monla"/>
    <s v="Mount Lebanon"/>
    <x v="0"/>
    <x v="0"/>
    <x v="16"/>
    <x v="16"/>
    <x v="0"/>
    <n v="71958336"/>
    <s v="Fall  2025 - 2026"/>
    <n v="108"/>
    <n v="6"/>
    <n v="15"/>
    <n v="87"/>
    <n v="0.19444444444444445"/>
    <x v="1"/>
  </r>
  <r>
    <n v="62130219"/>
    <n v="171436"/>
    <s v="Hovsep"/>
    <s v="Kevork"/>
    <s v="Assadour"/>
    <s v="Mount Lebanon"/>
    <x v="2"/>
    <x v="0"/>
    <x v="10"/>
    <x v="10"/>
    <x v="1"/>
    <n v="96171336345"/>
    <s v="Fall  2021 - 2022"/>
    <n v="99"/>
    <n v="54"/>
    <n v="15"/>
    <n v="30"/>
    <n v="0.69696969696969702"/>
    <x v="0"/>
  </r>
  <r>
    <n v="62530150"/>
    <n v="222168"/>
    <s v="Hrag"/>
    <s v="Zawen"/>
    <s v="Astourian"/>
    <s v="Mount Lebanon"/>
    <x v="2"/>
    <x v="0"/>
    <x v="33"/>
    <x v="33"/>
    <x v="1"/>
    <n v="96181914991"/>
    <s v="Fall  2025 - 2026"/>
    <n v="99"/>
    <n v="3"/>
    <n v="9"/>
    <n v="87"/>
    <n v="0.12121212121212122"/>
    <x v="1"/>
  </r>
  <r>
    <n v="62230348"/>
    <n v="206587"/>
    <s v="Hrag"/>
    <s v="Iskendar"/>
    <s v="Kosbekian"/>
    <s v="Mount Lebanon"/>
    <x v="1"/>
    <x v="0"/>
    <x v="5"/>
    <x v="5"/>
    <x v="1"/>
    <n v="71643460"/>
    <s v="Fall  2023 - 2024"/>
    <n v="100"/>
    <n v="62"/>
    <n v="12"/>
    <n v="26"/>
    <n v="0.74"/>
    <x v="0"/>
  </r>
  <r>
    <n v="62330117"/>
    <n v="199863"/>
    <s v="Hrag"/>
    <s v="Sahe"/>
    <s v="Ohanessian"/>
    <s v="Mount Lebanon"/>
    <x v="2"/>
    <x v="0"/>
    <x v="10"/>
    <x v="10"/>
    <x v="1"/>
    <n v="96181823977"/>
    <s v="Fall  2023 - 2024"/>
    <n v="99"/>
    <n v="57"/>
    <n v="18"/>
    <n v="24"/>
    <n v="0.75757575757575757"/>
    <x v="0"/>
  </r>
  <r>
    <n v="62330194"/>
    <n v="201060"/>
    <s v="Hrag"/>
    <s v="Sahag"/>
    <s v="Tashjian"/>
    <s v="Mount Lebanon"/>
    <x v="2"/>
    <x v="0"/>
    <x v="9"/>
    <x v="9"/>
    <x v="1"/>
    <n v="76563267"/>
    <s v="Fall  2023 - 2024"/>
    <n v="99"/>
    <n v="21"/>
    <n v="9"/>
    <n v="75"/>
    <n v="0.30303030303030304"/>
    <x v="1"/>
  </r>
  <r>
    <n v="62330317"/>
    <n v="206284"/>
    <s v="Hussein"/>
    <s v="Walid"/>
    <s v="Aljassem"/>
    <s v="Mount Lebanon"/>
    <x v="2"/>
    <x v="0"/>
    <x v="6"/>
    <x v="6"/>
    <x v="1"/>
    <n v="96181085051"/>
    <s v="Fall  2023 - 2024"/>
    <n v="99"/>
    <n v="75"/>
    <n v="18"/>
    <n v="6"/>
    <n v="0.93939393939393945"/>
    <x v="0"/>
  </r>
  <r>
    <n v="62530233"/>
    <n v="224718"/>
    <s v="Hussein"/>
    <s v="Ali"/>
    <s v="Safwan"/>
    <s v="Mount Lebanon"/>
    <x v="2"/>
    <x v="0"/>
    <x v="9"/>
    <x v="9"/>
    <x v="1"/>
    <n v="9610000000"/>
    <s v="Fall  2025 - 2026"/>
    <n v="99"/>
    <n v="12"/>
    <n v="12"/>
    <n v="75"/>
    <n v="0.24242424242424243"/>
    <x v="1"/>
  </r>
  <r>
    <n v="62530206"/>
    <n v="224511"/>
    <s v="Ibrahim"/>
    <s v="Mourshid"/>
    <s v="Al Hayek"/>
    <s v="Mount Lebanon"/>
    <x v="0"/>
    <x v="0"/>
    <x v="1"/>
    <x v="1"/>
    <x v="0"/>
    <n v="81372675"/>
    <s v="Fall  2025 - 2026"/>
    <n v="108"/>
    <n v="0"/>
    <n v="16"/>
    <n v="102"/>
    <n v="0.14814814814814814"/>
    <x v="1"/>
  </r>
  <r>
    <n v="62330088"/>
    <n v="199938"/>
    <s v="Ibrahim"/>
    <s v="Mostafa"/>
    <s v="Al Shihabi"/>
    <s v="Mount Lebanon"/>
    <x v="0"/>
    <x v="0"/>
    <x v="1"/>
    <x v="1"/>
    <x v="0"/>
    <n v="96176713041"/>
    <s v="Fall  2023 - 2024"/>
    <n v="108"/>
    <n v="91"/>
    <n v="17"/>
    <n v="0"/>
    <n v="1"/>
    <x v="0"/>
  </r>
  <r>
    <n v="62130118"/>
    <n v="168628"/>
    <s v="Ibrahim"/>
    <s v="Khalil"/>
    <s v="Bayram"/>
    <s v="Mount Lebanon"/>
    <x v="1"/>
    <x v="0"/>
    <x v="38"/>
    <x v="38"/>
    <x v="1"/>
    <n v="96171549358"/>
    <s v="Fall  2021 - 2022"/>
    <n v="108"/>
    <n v="102"/>
    <n v="6"/>
    <n v="0"/>
    <n v="1"/>
    <x v="0"/>
  </r>
  <r>
    <n v="62030411"/>
    <n v="163769"/>
    <s v="Imad"/>
    <s v="Ahmad"/>
    <s v="Mohsen"/>
    <s v="Mount Lebanon"/>
    <x v="1"/>
    <x v="0"/>
    <x v="5"/>
    <x v="5"/>
    <x v="1"/>
    <n v="96178952894"/>
    <s v="Fall  2020 - 2021"/>
    <n v="100"/>
    <n v="81"/>
    <n v="13"/>
    <n v="6"/>
    <n v="0.94"/>
    <x v="0"/>
  </r>
  <r>
    <n v="62130268"/>
    <n v="171272"/>
    <s v="Imad"/>
    <s v="Jean"/>
    <s v="Rahmeh"/>
    <s v="Mount Lebanon"/>
    <x v="0"/>
    <x v="0"/>
    <x v="16"/>
    <x v="16"/>
    <x v="0"/>
    <n v="76403279"/>
    <s v="Fall  2021 - 2022"/>
    <n v="108"/>
    <n v="69"/>
    <n v="9"/>
    <n v="30"/>
    <n v="0.72222222222222221"/>
    <x v="0"/>
  </r>
  <r>
    <n v="62130369"/>
    <n v="175451"/>
    <s v="Iman"/>
    <s v="Hussein"/>
    <s v="Chamas"/>
    <s v="Mount Lebanon"/>
    <x v="2"/>
    <x v="0"/>
    <x v="6"/>
    <x v="6"/>
    <x v="1"/>
    <n v="9613053603"/>
    <s v="Fall  2021 - 2022"/>
    <n v="99"/>
    <n v="78"/>
    <n v="21"/>
    <n v="0"/>
    <n v="1"/>
    <x v="0"/>
  </r>
  <r>
    <n v="62430215"/>
    <n v="213366"/>
    <s v="Jack"/>
    <s v="Haroutioun"/>
    <s v="Avedikian"/>
    <s v="Mount Lebanon"/>
    <x v="2"/>
    <x v="0"/>
    <x v="17"/>
    <x v="17"/>
    <x v="2"/>
    <n v="81365835"/>
    <s v="Fall  2024 - 2025"/>
    <n v="99"/>
    <n v="27"/>
    <n v="12"/>
    <n v="60"/>
    <n v="0.39393939393939392"/>
    <x v="1"/>
  </r>
  <r>
    <n v="62230240"/>
    <n v="190853"/>
    <s v="Jack"/>
    <s v="Harout"/>
    <s v="Nazarian"/>
    <s v="Mount Lebanon"/>
    <x v="1"/>
    <x v="0"/>
    <x v="15"/>
    <x v="15"/>
    <x v="1"/>
    <n v="96170811480"/>
    <s v="Fall  2022 - 2023"/>
    <n v="99"/>
    <n v="0"/>
    <n v="9"/>
    <n v="90"/>
    <n v="9.0909090909090912E-2"/>
    <x v="1"/>
  </r>
  <r>
    <n v="62330114"/>
    <n v="199859"/>
    <s v="Jacob"/>
    <s v="Mher"/>
    <s v="Baboukjian"/>
    <s v="Mount Lebanon"/>
    <x v="1"/>
    <x v="0"/>
    <x v="5"/>
    <x v="5"/>
    <x v="1"/>
    <n v="96176822016"/>
    <s v="Fall  2023 - 2024"/>
    <n v="100"/>
    <n v="25"/>
    <n v="9"/>
    <n v="66"/>
    <n v="0.34"/>
    <x v="1"/>
  </r>
  <r>
    <n v="62530249"/>
    <n v="225581"/>
    <s v="Jad"/>
    <s v="Abbas"/>
    <s v="Abi Hussein"/>
    <s v="Mount Lebanon"/>
    <x v="2"/>
    <x v="0"/>
    <x v="33"/>
    <x v="33"/>
    <x v="1"/>
    <n v="96176959470"/>
    <s v="Fall  2025 - 2026"/>
    <n v="99"/>
    <n v="0"/>
    <n v="16"/>
    <n v="87"/>
    <n v="0.16161616161616163"/>
    <x v="1"/>
  </r>
  <r>
    <n v="62430194"/>
    <n v="212215"/>
    <s v="Jad"/>
    <s v="Jihad"/>
    <s v="Barakat"/>
    <s v="Mount Lebanon"/>
    <x v="2"/>
    <x v="0"/>
    <x v="3"/>
    <x v="3"/>
    <x v="1"/>
    <n v="96170721202"/>
    <s v="Fall  2024 - 2025"/>
    <n v="99"/>
    <n v="36"/>
    <n v="15"/>
    <n v="48"/>
    <n v="0.51515151515151514"/>
    <x v="0"/>
  </r>
  <r>
    <n v="62530108"/>
    <n v="220423"/>
    <s v="Jad"/>
    <s v="Bassem"/>
    <s v="Chouman"/>
    <s v="Mount Lebanon"/>
    <x v="1"/>
    <x v="0"/>
    <x v="35"/>
    <x v="35"/>
    <x v="1"/>
    <n v="96170917213"/>
    <s v="Fall  2025 - 2026"/>
    <n v="99"/>
    <n v="3"/>
    <n v="15"/>
    <n v="97"/>
    <n v="0.18181818181818182"/>
    <x v="1"/>
  </r>
  <r>
    <n v="62430024"/>
    <n v="212120"/>
    <s v="Jad"/>
    <s v="Hussein"/>
    <s v="Jaber"/>
    <s v="Mount Lebanon"/>
    <x v="1"/>
    <x v="0"/>
    <x v="2"/>
    <x v="2"/>
    <x v="1"/>
    <n v="96181605637"/>
    <s v="Fall  2024 - 2025"/>
    <n v="99"/>
    <n v="12"/>
    <n v="15"/>
    <n v="72"/>
    <n v="0.27272727272727271"/>
    <x v="1"/>
  </r>
  <r>
    <n v="62420008"/>
    <n v="209216"/>
    <s v="Jad"/>
    <s v="Bechara"/>
    <s v="Saliba"/>
    <s v="Mount Lebanon"/>
    <x v="1"/>
    <x v="0"/>
    <x v="5"/>
    <x v="5"/>
    <x v="1"/>
    <n v="96176996881"/>
    <s v="Summer  2023 - 2024"/>
    <n v="100"/>
    <n v="44"/>
    <n v="18"/>
    <n v="38"/>
    <n v="0.62"/>
    <x v="0"/>
  </r>
  <r>
    <n v="62530061"/>
    <n v="220470"/>
    <s v="Jad"/>
    <s v="Bassam"/>
    <s v="Seifeddine"/>
    <s v="Mount Lebanon"/>
    <x v="2"/>
    <x v="0"/>
    <x v="22"/>
    <x v="22"/>
    <x v="1"/>
    <n v="96170111056"/>
    <s v="Fall  2025 - 2026"/>
    <n v="99"/>
    <n v="6"/>
    <n v="9"/>
    <n v="84"/>
    <n v="0.15151515151515152"/>
    <x v="1"/>
  </r>
  <r>
    <n v="62130173"/>
    <n v="171261"/>
    <s v="Jad"/>
    <s v="Wassim"/>
    <s v="Sleiman"/>
    <s v="Mount Lebanon"/>
    <x v="0"/>
    <x v="0"/>
    <x v="1"/>
    <x v="1"/>
    <x v="0"/>
    <n v="96176086236"/>
    <s v="Fall  2021 - 2022"/>
    <n v="108"/>
    <n v="73"/>
    <n v="7"/>
    <n v="28"/>
    <n v="0.7407407407407407"/>
    <x v="0"/>
  </r>
  <r>
    <n v="62330302"/>
    <n v="205800"/>
    <s v="Jana"/>
    <s v="Charbel"/>
    <s v="Al Sokhon"/>
    <s v="Mount Lebanon"/>
    <x v="1"/>
    <x v="0"/>
    <x v="38"/>
    <x v="38"/>
    <x v="1"/>
    <n v="70463114"/>
    <s v="Fall  2023 - 2024"/>
    <n v="108"/>
    <n v="72"/>
    <n v="15"/>
    <n v="21"/>
    <n v="0.80555555555555558"/>
    <x v="0"/>
  </r>
  <r>
    <n v="62530121"/>
    <n v="221108"/>
    <s v="Jason"/>
    <s v="Tarek"/>
    <s v="Stephan"/>
    <s v="Mount Lebanon"/>
    <x v="2"/>
    <x v="0"/>
    <x v="9"/>
    <x v="9"/>
    <x v="1"/>
    <n v="79310166"/>
    <s v="Fall  2025 - 2026"/>
    <n v="99"/>
    <n v="9"/>
    <n v="18"/>
    <n v="72"/>
    <n v="0.27272727272727271"/>
    <x v="1"/>
  </r>
  <r>
    <n v="62330351"/>
    <n v="206842"/>
    <s v="Jawad"/>
    <s v="Nadim"/>
    <s v="Fakher Eldin"/>
    <s v="Mount Lebanon"/>
    <x v="2"/>
    <x v="0"/>
    <x v="3"/>
    <x v="3"/>
    <x v="1"/>
    <n v="96176102855"/>
    <s v="Fall  2023 - 2024"/>
    <n v="99"/>
    <n v="60"/>
    <n v="18"/>
    <n v="21"/>
    <n v="0.78787878787878785"/>
    <x v="0"/>
  </r>
  <r>
    <n v="62430168"/>
    <n v="212195"/>
    <s v="Jawad"/>
    <s v="Bassam"/>
    <s v="Saliba"/>
    <s v="Mount Lebanon"/>
    <x v="2"/>
    <x v="0"/>
    <x v="32"/>
    <x v="32"/>
    <x v="1"/>
    <n v="70511341"/>
    <s v="Fall  2024 - 2025"/>
    <n v="99"/>
    <n v="21"/>
    <n v="13"/>
    <n v="69"/>
    <n v="0.34343434343434343"/>
    <x v="1"/>
  </r>
  <r>
    <n v="62530023"/>
    <n v="219162"/>
    <s v="Jean Christ"/>
    <s v="Maher"/>
    <s v="Abou Haydar"/>
    <s v="Mount Lebanon"/>
    <x v="2"/>
    <x v="0"/>
    <x v="9"/>
    <x v="9"/>
    <x v="1"/>
    <n v="96176964975"/>
    <s v="Fall  2025 - 2026"/>
    <n v="99"/>
    <n v="9"/>
    <n v="15"/>
    <n v="75"/>
    <n v="0.24242424242424243"/>
    <x v="1"/>
  </r>
  <r>
    <n v="62330035"/>
    <n v="198750"/>
    <s v="Jean Michel"/>
    <s v="Michel"/>
    <s v="Eid"/>
    <s v="Mount Lebanon"/>
    <x v="1"/>
    <x v="0"/>
    <x v="5"/>
    <x v="5"/>
    <x v="1"/>
    <n v="96170738866"/>
    <s v="Fall  2023 - 2024"/>
    <n v="100"/>
    <n v="68"/>
    <n v="16"/>
    <n v="16"/>
    <n v="0.84"/>
    <x v="0"/>
  </r>
  <r>
    <n v="62430306"/>
    <n v="216218"/>
    <s v="Jean Paul"/>
    <s v="Najib"/>
    <s v="Aoun"/>
    <s v="Mount Lebanon"/>
    <x v="2"/>
    <x v="0"/>
    <x v="32"/>
    <x v="32"/>
    <x v="1"/>
    <n v="96176738048"/>
    <s v="Fall  2024 - 2025"/>
    <n v="99"/>
    <n v="30"/>
    <n v="12"/>
    <n v="57"/>
    <n v="0.42424242424242425"/>
    <x v="1"/>
  </r>
  <r>
    <n v="62530192"/>
    <n v="223895"/>
    <s v="Jean Pierre"/>
    <s v="Pierre"/>
    <s v="Al Alam"/>
    <s v="Mount Lebanon"/>
    <x v="0"/>
    <x v="0"/>
    <x v="16"/>
    <x v="16"/>
    <x v="0"/>
    <n v="96178977029"/>
    <s v="Fall  2025 - 2026"/>
    <n v="108"/>
    <n v="0"/>
    <n v="15"/>
    <n v="96"/>
    <n v="0.1388888888888889"/>
    <x v="1"/>
  </r>
  <r>
    <n v="62230391"/>
    <n v="194163"/>
    <s v="Jennifer"/>
    <s v="Roger"/>
    <s v="Al Asswad"/>
    <s v="Mount Lebanon"/>
    <x v="1"/>
    <x v="0"/>
    <x v="14"/>
    <x v="14"/>
    <x v="2"/>
    <n v="81322876"/>
    <s v="Fall  2022 - 2023"/>
    <n v="105"/>
    <n v="87"/>
    <n v="12"/>
    <n v="6"/>
    <n v="0.94285714285714284"/>
    <x v="0"/>
  </r>
  <r>
    <n v="62530057"/>
    <n v="219782"/>
    <s v="Jennifer"/>
    <s v="Charbel"/>
    <s v="Al Beayni"/>
    <s v="Mount Lebanon"/>
    <x v="1"/>
    <x v="0"/>
    <x v="12"/>
    <x v="12"/>
    <x v="1"/>
    <n v="96181979120"/>
    <s v="Fall  2025 - 2026"/>
    <n v="99"/>
    <n v="0"/>
    <n v="10"/>
    <n v="97"/>
    <n v="0.10101010101010101"/>
    <x v="1"/>
  </r>
  <r>
    <n v="62530070"/>
    <n v="221394"/>
    <s v="Jennifer"/>
    <s v="Jihad"/>
    <s v="El Asmar"/>
    <s v="Mount Lebanon"/>
    <x v="3"/>
    <x v="0"/>
    <x v="20"/>
    <x v="20"/>
    <x v="2"/>
    <n v="96170737095"/>
    <s v="Fall  2025 - 2026"/>
    <n v="65"/>
    <n v="5"/>
    <n v="16"/>
    <n v="47"/>
    <n v="0.32307692307692309"/>
    <x v="1"/>
  </r>
  <r>
    <n v="62430177"/>
    <n v="212220"/>
    <s v="Jennifer"/>
    <s v="Fares"/>
    <s v="Hassoun"/>
    <s v="Mount Lebanon"/>
    <x v="2"/>
    <x v="0"/>
    <x v="6"/>
    <x v="6"/>
    <x v="1"/>
    <n v="71792144"/>
    <s v="Fall  2024 - 2025"/>
    <n v="99"/>
    <n v="39"/>
    <n v="12"/>
    <n v="48"/>
    <n v="0.51515151515151514"/>
    <x v="0"/>
  </r>
  <r>
    <n v="62530077"/>
    <n v="219809"/>
    <s v="Jessica"/>
    <s v="Elias"/>
    <s v="Bou Khalil"/>
    <s v="Mount Lebanon"/>
    <x v="2"/>
    <x v="0"/>
    <x v="22"/>
    <x v="22"/>
    <x v="1"/>
    <n v="71065237"/>
    <s v="Fall  2025 - 2026"/>
    <n v="99"/>
    <n v="9"/>
    <n v="15"/>
    <n v="75"/>
    <n v="0.24242424242424243"/>
    <x v="1"/>
  </r>
  <r>
    <n v="62330236"/>
    <n v="203667"/>
    <s v="Jessica"/>
    <s v="Mardiros"/>
    <s v="Jiguerian"/>
    <s v="Mount Lebanon"/>
    <x v="1"/>
    <x v="0"/>
    <x v="8"/>
    <x v="8"/>
    <x v="2"/>
    <n v="96178915928"/>
    <s v="Fall  2023 - 2024"/>
    <n v="99"/>
    <n v="54"/>
    <n v="15"/>
    <n v="30"/>
    <n v="0.69696969696969702"/>
    <x v="0"/>
  </r>
  <r>
    <n v="62430279"/>
    <n v="215595"/>
    <s v="Jessica"/>
    <s v="Najib"/>
    <s v="Zeitoun"/>
    <s v="Mount Lebanon"/>
    <x v="2"/>
    <x v="0"/>
    <x v="10"/>
    <x v="10"/>
    <x v="1"/>
    <n v="3311465"/>
    <s v="Fall  2024 - 2025"/>
    <n v="99"/>
    <n v="30"/>
    <n v="15"/>
    <n v="54"/>
    <n v="0.45454545454545453"/>
    <x v="1"/>
  </r>
  <r>
    <n v="62210083"/>
    <n v="183405"/>
    <s v="Jessicaa"/>
    <s v="Nassim"/>
    <s v="Al Alam"/>
    <s v="Mount Lebanon"/>
    <x v="1"/>
    <x v="0"/>
    <x v="38"/>
    <x v="38"/>
    <x v="1"/>
    <n v="79199510"/>
    <s v="Spring  2021 - 2022"/>
    <n v="108"/>
    <n v="105"/>
    <n v="3"/>
    <n v="0"/>
    <n v="1"/>
    <x v="0"/>
  </r>
  <r>
    <n v="62330015"/>
    <n v="198772"/>
    <s v="Jimmy"/>
    <s v="Fares"/>
    <s v="Mrad"/>
    <s v="Mount Lebanon"/>
    <x v="1"/>
    <x v="0"/>
    <x v="2"/>
    <x v="2"/>
    <x v="1"/>
    <n v="96176766950"/>
    <s v="Fall  2023 - 2024"/>
    <n v="99"/>
    <n v="52"/>
    <n v="16"/>
    <n v="31"/>
    <n v="0.68686868686868685"/>
    <x v="0"/>
  </r>
  <r>
    <n v="62230135"/>
    <n v="187280"/>
    <s v="Jinan"/>
    <s v="Omar"/>
    <s v="Alfayad"/>
    <s v="Mount Lebanon"/>
    <x v="2"/>
    <x v="0"/>
    <x v="7"/>
    <x v="7"/>
    <x v="1"/>
    <n v="96176072601"/>
    <s v="Fall  2022 - 2023"/>
    <n v="99"/>
    <n v="84"/>
    <n v="15"/>
    <n v="0"/>
    <n v="1"/>
    <x v="0"/>
  </r>
  <r>
    <n v="62230265"/>
    <n v="189820"/>
    <s v="Jinane"/>
    <s v="Mohamad"/>
    <s v="Medlej"/>
    <s v="Mount Lebanon"/>
    <x v="0"/>
    <x v="0"/>
    <x v="0"/>
    <x v="0"/>
    <x v="0"/>
    <n v="81139155"/>
    <s v="Fall  2022 - 2023"/>
    <n v="108"/>
    <n v="21"/>
    <n v="10"/>
    <n v="77"/>
    <n v="0.28703703703703703"/>
    <x v="1"/>
  </r>
  <r>
    <n v="62430205"/>
    <n v="213438"/>
    <s v="Joe"/>
    <s v="Samir"/>
    <s v="Abou Ezzi"/>
    <s v="Mount Lebanon"/>
    <x v="2"/>
    <x v="0"/>
    <x v="3"/>
    <x v="3"/>
    <x v="1"/>
    <n v="81209042"/>
    <s v="Fall  2024 - 2025"/>
    <n v="99"/>
    <n v="6"/>
    <n v="12"/>
    <n v="81"/>
    <n v="0.18181818181818182"/>
    <x v="1"/>
  </r>
  <r>
    <n v="62610028"/>
    <n v="227740"/>
    <s v="Joe"/>
    <s v="Alfred"/>
    <s v="Akar"/>
    <s v="Mount Lebanon"/>
    <x v="2"/>
    <x v="0"/>
    <x v="22"/>
    <x v="22"/>
    <x v="1"/>
    <n v="96171968646"/>
    <s v="Spring  2025 - 2026"/>
    <n v="99"/>
    <n v="12"/>
    <n v="13"/>
    <n v="78"/>
    <n v="0.25252525252525254"/>
    <x v="1"/>
  </r>
  <r>
    <n v="62530179"/>
    <n v="224566"/>
    <s v="Joe"/>
    <s v="Joseph"/>
    <s v="Hachem"/>
    <s v="Mount Lebanon"/>
    <x v="1"/>
    <x v="0"/>
    <x v="35"/>
    <x v="35"/>
    <x v="1"/>
    <n v="71663208"/>
    <s v="Fall  2025 - 2026"/>
    <n v="99"/>
    <n v="24"/>
    <n v="10"/>
    <n v="66"/>
    <n v="0.34343434343434343"/>
    <x v="1"/>
  </r>
  <r>
    <n v="62530220"/>
    <n v="224161"/>
    <s v="Joe"/>
    <s v="Elie"/>
    <s v="Luka"/>
    <s v="Mount Lebanon"/>
    <x v="0"/>
    <x v="0"/>
    <x v="40"/>
    <x v="40"/>
    <x v="0"/>
    <n v="96176963408"/>
    <s v="Fall  2025 - 2026"/>
    <n v="108"/>
    <n v="0"/>
    <n v="10"/>
    <n v="106"/>
    <n v="9.2592592592592587E-2"/>
    <x v="1"/>
  </r>
  <r>
    <n v="62530079"/>
    <n v="219804"/>
    <s v="Joe"/>
    <s v="Charbel"/>
    <s v="Mattar"/>
    <s v="Mount Lebanon"/>
    <x v="1"/>
    <x v="0"/>
    <x v="35"/>
    <x v="35"/>
    <x v="1"/>
    <n v="81187866"/>
    <s v="Fall  2025 - 2026"/>
    <n v="99"/>
    <n v="18"/>
    <n v="13"/>
    <n v="69"/>
    <n v="0.31313131313131315"/>
    <x v="1"/>
  </r>
  <r>
    <n v="62430288"/>
    <n v="215591"/>
    <s v="Joe"/>
    <s v="Dany"/>
    <s v="Moussa"/>
    <s v="Mount Lebanon"/>
    <x v="0"/>
    <x v="0"/>
    <x v="1"/>
    <x v="1"/>
    <x v="0"/>
    <n v="3321186"/>
    <s v="Fall  2024 - 2025"/>
    <n v="108"/>
    <n v="34"/>
    <n v="15"/>
    <n v="59"/>
    <n v="0.45370370370370372"/>
    <x v="1"/>
  </r>
  <r>
    <n v="62610008"/>
    <n v="227142"/>
    <s v="Joe"/>
    <s v="Dib"/>
    <s v="Younes"/>
    <s v="Mount Lebanon"/>
    <x v="0"/>
    <x v="0"/>
    <x v="16"/>
    <x v="16"/>
    <x v="0"/>
    <n v="96181274476"/>
    <s v="Spring  2025 - 2026"/>
    <n v="108"/>
    <n v="0"/>
    <n v="14"/>
    <n v="109"/>
    <n v="0.12962962962962962"/>
    <x v="1"/>
  </r>
  <r>
    <n v="62130315"/>
    <n v="184213"/>
    <s v="Joelle"/>
    <s v="Elie"/>
    <s v="Sader"/>
    <s v="Mount Lebanon"/>
    <x v="1"/>
    <x v="0"/>
    <x v="36"/>
    <x v="36"/>
    <x v="1"/>
    <n v="76390484"/>
    <s v="Summer  2021 - 2022"/>
    <n v="108"/>
    <n v="105"/>
    <n v="3"/>
    <n v="0"/>
    <n v="1"/>
    <x v="0"/>
  </r>
  <r>
    <n v="62520003"/>
    <n v="218955"/>
    <s v="Joey"/>
    <s v="Rabih"/>
    <s v="Abdouch"/>
    <s v="Mount Lebanon"/>
    <x v="1"/>
    <x v="0"/>
    <x v="41"/>
    <x v="41"/>
    <x v="1"/>
    <n v="96171418574"/>
    <s v="Summer  2024 - 2025"/>
    <n v="108"/>
    <n v="51"/>
    <n v="18"/>
    <n v="42"/>
    <n v="0.63888888888888884"/>
    <x v="0"/>
  </r>
  <r>
    <n v="62330124"/>
    <n v="199820"/>
    <s v="Joey"/>
    <s v="Youssef"/>
    <s v="Al Haber"/>
    <s v="Mount Lebanon"/>
    <x v="1"/>
    <x v="0"/>
    <x v="5"/>
    <x v="5"/>
    <x v="1"/>
    <n v="96181001708"/>
    <s v="Fall  2023 - 2024"/>
    <n v="100"/>
    <n v="44"/>
    <n v="12"/>
    <n v="44"/>
    <n v="0.56000000000000005"/>
    <x v="0"/>
  </r>
  <r>
    <n v="62330265"/>
    <n v="205635"/>
    <s v="Joey"/>
    <s v="Sami"/>
    <s v="Al Nashef"/>
    <s v="Mount Lebanon"/>
    <x v="2"/>
    <x v="0"/>
    <x v="3"/>
    <x v="3"/>
    <x v="1"/>
    <n v="81524645"/>
    <s v="Fall  2023 - 2024"/>
    <n v="99"/>
    <n v="27"/>
    <n v="15"/>
    <n v="57"/>
    <n v="0.42424242424242425"/>
    <x v="1"/>
  </r>
  <r>
    <n v="62530281"/>
    <n v="226834"/>
    <s v="Joey"/>
    <s v="Jihad"/>
    <s v="Saleh"/>
    <s v="Mount Lebanon"/>
    <x v="2"/>
    <x v="0"/>
    <x v="33"/>
    <x v="33"/>
    <x v="1"/>
    <n v="96176783777"/>
    <s v="Fall  2025 - 2026"/>
    <n v="99"/>
    <n v="0"/>
    <n v="13"/>
    <n v="90"/>
    <n v="0.13131313131313133"/>
    <x v="1"/>
  </r>
  <r>
    <n v="62530175"/>
    <n v="223951"/>
    <s v="John"/>
    <s v="Hady"/>
    <s v="Abdel Ahad"/>
    <s v="Mount Lebanon"/>
    <x v="2"/>
    <x v="0"/>
    <x v="42"/>
    <x v="42"/>
    <x v="1"/>
    <n v="81424019"/>
    <s v="Fall  2025 - 2026"/>
    <n v="99"/>
    <n v="9"/>
    <n v="16"/>
    <n v="78"/>
    <n v="0.25252525252525254"/>
    <x v="1"/>
  </r>
  <r>
    <n v="62230409"/>
    <n v="194240"/>
    <s v="Johnny"/>
    <s v="Samir"/>
    <s v="Tanios"/>
    <s v="Mount Lebanon"/>
    <x v="2"/>
    <x v="0"/>
    <x v="7"/>
    <x v="7"/>
    <x v="1"/>
    <n v="71864958"/>
    <s v="Fall  2022 - 2023"/>
    <n v="99"/>
    <n v="33"/>
    <n v="15"/>
    <n v="51"/>
    <n v="0.48484848484848486"/>
    <x v="1"/>
  </r>
  <r>
    <n v="62030015"/>
    <n v="151587"/>
    <s v="Johny"/>
    <s v="Razmig"/>
    <s v="Tokadjian"/>
    <s v="Mount Lebanon"/>
    <x v="2"/>
    <x v="0"/>
    <x v="7"/>
    <x v="7"/>
    <x v="1"/>
    <n v="96181764398"/>
    <s v="Fall  2020 - 2021"/>
    <n v="99"/>
    <n v="54"/>
    <n v="12"/>
    <n v="33"/>
    <n v="0.66666666666666663"/>
    <x v="0"/>
  </r>
  <r>
    <n v="62330293"/>
    <n v="205278"/>
    <s v="Jolina"/>
    <s v="Youssef"/>
    <s v="Goubran"/>
    <s v="Mount Lebanon"/>
    <x v="1"/>
    <x v="0"/>
    <x v="43"/>
    <x v="43"/>
    <x v="2"/>
    <n v="3151299"/>
    <s v="Fall  2023 - 2024"/>
    <n v="99"/>
    <n v="33"/>
    <n v="13"/>
    <n v="53"/>
    <n v="0.46464646464646464"/>
    <x v="1"/>
  </r>
  <r>
    <n v="62530165"/>
    <n v="222929"/>
    <s v="Jolyana"/>
    <s v="Mohsen"/>
    <s v="Tishory"/>
    <s v="Mount Lebanon"/>
    <x v="2"/>
    <x v="0"/>
    <x v="33"/>
    <x v="33"/>
    <x v="1"/>
    <n v="70595329"/>
    <s v="Fall  2025 - 2026"/>
    <n v="99"/>
    <n v="6"/>
    <n v="13"/>
    <n v="88"/>
    <n v="0.19191919191919191"/>
    <x v="1"/>
  </r>
  <r>
    <n v="62430032"/>
    <n v="209487"/>
    <s v="Joseph"/>
    <s v="Charbel"/>
    <s v="Al Hourany"/>
    <s v="Mount Lebanon"/>
    <x v="1"/>
    <x v="0"/>
    <x v="5"/>
    <x v="5"/>
    <x v="1"/>
    <n v="96171976629"/>
    <s v="Fall  2024 - 2025"/>
    <n v="100"/>
    <n v="18"/>
    <n v="13"/>
    <n v="69"/>
    <n v="0.31"/>
    <x v="1"/>
  </r>
  <r>
    <n v="62330040"/>
    <n v="198759"/>
    <s v="Joseph"/>
    <s v="Dany"/>
    <s v="Attieh"/>
    <s v="Mount Lebanon"/>
    <x v="1"/>
    <x v="0"/>
    <x v="5"/>
    <x v="5"/>
    <x v="1"/>
    <n v="96176766065"/>
    <s v="Fall  2023 - 2024"/>
    <n v="100"/>
    <n v="87"/>
    <n v="13"/>
    <n v="0"/>
    <n v="1"/>
    <x v="0"/>
  </r>
  <r>
    <n v="62030084"/>
    <n v="158428"/>
    <s v="Joseph"/>
    <s v="Doumit"/>
    <s v="Bou Nassif"/>
    <s v="Mount Lebanon"/>
    <x v="0"/>
    <x v="0"/>
    <x v="0"/>
    <x v="0"/>
    <x v="0"/>
    <n v="71927003"/>
    <s v="Fall  2020 - 2021"/>
    <n v="108"/>
    <n v="31"/>
    <n v="9"/>
    <n v="68"/>
    <n v="0.37037037037037035"/>
    <x v="1"/>
  </r>
  <r>
    <n v="62430213"/>
    <n v="214199"/>
    <s v="Joseph"/>
    <s v="Elias"/>
    <s v="Khoueiry"/>
    <s v="Mount Lebanon"/>
    <x v="1"/>
    <x v="0"/>
    <x v="35"/>
    <x v="35"/>
    <x v="1"/>
    <n v="70506325"/>
    <s v="Fall  2024 - 2025"/>
    <n v="99"/>
    <n v="0"/>
    <n v="15"/>
    <n v="84"/>
    <n v="0.15151515151515152"/>
    <x v="1"/>
  </r>
  <r>
    <n v="62330147"/>
    <n v="200555"/>
    <s v="Joseph"/>
    <s v="Dory"/>
    <s v="Naddaf"/>
    <s v="Mount Lebanon"/>
    <x v="2"/>
    <x v="0"/>
    <x v="7"/>
    <x v="7"/>
    <x v="1"/>
    <n v="96176022033"/>
    <s v="Fall  2023 - 2024"/>
    <n v="99"/>
    <n v="21"/>
    <n v="13"/>
    <n v="69"/>
    <n v="0.34343434343434343"/>
    <x v="1"/>
  </r>
  <r>
    <n v="62610016"/>
    <n v="227242"/>
    <s v="Joseph"/>
    <s v="Chady"/>
    <s v="Nassif"/>
    <s v="Mount Lebanon"/>
    <x v="1"/>
    <x v="0"/>
    <x v="35"/>
    <x v="35"/>
    <x v="1"/>
    <n v="96179158279"/>
    <s v="Spring  2025 - 2026"/>
    <n v="99"/>
    <n v="0"/>
    <n v="13"/>
    <n v="90"/>
    <n v="0.13131313131313133"/>
    <x v="1"/>
  </r>
  <r>
    <n v="62430001"/>
    <n v="213108"/>
    <s v="Joseph"/>
    <s v="Boulos"/>
    <s v="Samaha"/>
    <s v="Mount Lebanon"/>
    <x v="3"/>
    <x v="0"/>
    <x v="20"/>
    <x v="20"/>
    <x v="2"/>
    <n v="71950604"/>
    <s v="Fall  2024 - 2025"/>
    <n v="65"/>
    <n v="53"/>
    <n v="12"/>
    <n v="0"/>
    <n v="1"/>
    <x v="0"/>
  </r>
  <r>
    <n v="62430204"/>
    <n v="213380"/>
    <s v="Josiane"/>
    <s v="Georges"/>
    <s v="Nawfal"/>
    <s v="Mount Lebanon"/>
    <x v="1"/>
    <x v="0"/>
    <x v="15"/>
    <x v="15"/>
    <x v="1"/>
    <n v="96181870134"/>
    <s v="Fall  2024 - 2025"/>
    <n v="99"/>
    <n v="49"/>
    <n v="19"/>
    <n v="31"/>
    <n v="0.68686868686868685"/>
    <x v="0"/>
  </r>
  <r>
    <n v="62610029"/>
    <n v="227558"/>
    <s v="Joumana"/>
    <s v="Farid"/>
    <s v="Chaker"/>
    <s v="Mount Lebanon"/>
    <x v="1"/>
    <x v="0"/>
    <x v="44"/>
    <x v="44"/>
    <x v="1"/>
    <n v="96176537562"/>
    <s v="Spring  2025 - 2026"/>
    <n v="99"/>
    <n v="0"/>
    <n v="7"/>
    <n v="99"/>
    <n v="7.0707070707070704E-2"/>
    <x v="1"/>
  </r>
  <r>
    <n v="62530168"/>
    <n v="222891"/>
    <s v="Joy"/>
    <s v="Bassel"/>
    <s v="Bassil"/>
    <s v="Mount Lebanon"/>
    <x v="1"/>
    <x v="0"/>
    <x v="12"/>
    <x v="12"/>
    <x v="1"/>
    <n v="96171646914"/>
    <s v="Fall  2025 - 2026"/>
    <n v="99"/>
    <n v="6"/>
    <n v="13"/>
    <n v="88"/>
    <n v="0.19191919191919191"/>
    <x v="1"/>
  </r>
  <r>
    <n v="62130357"/>
    <n v="227191"/>
    <s v="Joy"/>
    <s v="Robert"/>
    <s v="Nakhleh"/>
    <s v="Mount Lebanon"/>
    <x v="2"/>
    <x v="0"/>
    <x v="22"/>
    <x v="22"/>
    <x v="1"/>
    <n v="76180059"/>
    <s v="Fall  2025 - 2026"/>
    <n v="99"/>
    <n v="24"/>
    <n v="12"/>
    <n v="63"/>
    <n v="0.36363636363636365"/>
    <x v="1"/>
  </r>
  <r>
    <n v="62430035"/>
    <n v="209475"/>
    <s v="Joya"/>
    <s v="Maroun"/>
    <s v="Al Kahwaji"/>
    <s v="Mount Lebanon"/>
    <x v="1"/>
    <x v="0"/>
    <x v="21"/>
    <x v="21"/>
    <x v="2"/>
    <n v="96176302524"/>
    <s v="Fall  2024 - 2025"/>
    <n v="99"/>
    <n v="6"/>
    <n v="7"/>
    <n v="89"/>
    <n v="0.13131313131313133"/>
    <x v="1"/>
  </r>
  <r>
    <n v="62330122"/>
    <n v="199867"/>
    <s v="Joyce"/>
    <s v="Maher"/>
    <s v="Amary"/>
    <s v="Mount Lebanon"/>
    <x v="2"/>
    <x v="0"/>
    <x v="9"/>
    <x v="9"/>
    <x v="1"/>
    <n v="96171487503"/>
    <s v="Fall  2023 - 2024"/>
    <n v="99"/>
    <n v="33"/>
    <n v="15"/>
    <n v="51"/>
    <n v="0.48484848484848486"/>
    <x v="1"/>
  </r>
  <r>
    <n v="62530155"/>
    <n v="222163"/>
    <s v="Joyce"/>
    <s v="Jack"/>
    <s v="Avakian"/>
    <s v="Mount Lebanon"/>
    <x v="4"/>
    <x v="0"/>
    <x v="45"/>
    <x v="45"/>
    <x v="2"/>
    <n v="81489811"/>
    <s v="Fall  2025 - 2026"/>
    <n v="99"/>
    <n v="0"/>
    <n v="10"/>
    <n v="97"/>
    <n v="0.10101010101010101"/>
    <x v="1"/>
  </r>
  <r>
    <n v="62430222"/>
    <n v="213342"/>
    <s v="Joyce"/>
    <s v="Watche"/>
    <s v="Awedisian"/>
    <s v="Mount Lebanon"/>
    <x v="1"/>
    <x v="0"/>
    <x v="38"/>
    <x v="38"/>
    <x v="1"/>
    <n v="96181923150"/>
    <s v="Fall  2024 - 2025"/>
    <n v="108"/>
    <n v="51"/>
    <n v="18"/>
    <n v="39"/>
    <n v="0.63888888888888884"/>
    <x v="0"/>
  </r>
  <r>
    <n v="61830017"/>
    <n v="198434"/>
    <s v="Joyce"/>
    <s v="Boutros"/>
    <s v="Zakour"/>
    <s v="Mount Lebanon"/>
    <x v="0"/>
    <x v="0"/>
    <x v="25"/>
    <x v="25"/>
    <x v="2"/>
    <n v="71087593"/>
    <s v="Summer  2022 - 2023"/>
    <n v="114"/>
    <n v="41"/>
    <n v="4"/>
    <n v="64"/>
    <n v="0.39473684210526316"/>
    <x v="1"/>
  </r>
  <r>
    <n v="62330251"/>
    <n v="203754"/>
    <s v="Julian"/>
    <s v="Fadi"/>
    <s v="Rizkallah"/>
    <s v="Mount Lebanon"/>
    <x v="0"/>
    <x v="0"/>
    <x v="29"/>
    <x v="29"/>
    <x v="0"/>
    <n v="96171431535"/>
    <s v="Fall  2023 - 2024"/>
    <n v="108"/>
    <n v="87"/>
    <n v="15"/>
    <n v="6"/>
    <n v="0.94444444444444442"/>
    <x v="0"/>
  </r>
  <r>
    <n v="62430341"/>
    <n v="218683"/>
    <s v="Juliana"/>
    <s v="Houssam"/>
    <s v="Haddam"/>
    <s v="Mount Lebanon"/>
    <x v="1"/>
    <x v="0"/>
    <x v="36"/>
    <x v="36"/>
    <x v="1"/>
    <n v="71677465"/>
    <s v="Fall  2024 - 2025"/>
    <n v="108"/>
    <n v="66"/>
    <n v="18"/>
    <n v="24"/>
    <n v="0.77777777777777779"/>
    <x v="0"/>
  </r>
  <r>
    <n v="62530167"/>
    <n v="222896"/>
    <s v="Juliana"/>
    <s v="Maroun"/>
    <s v="Moubarak"/>
    <s v="Mount Lebanon"/>
    <x v="1"/>
    <x v="0"/>
    <x v="12"/>
    <x v="12"/>
    <x v="1"/>
    <n v="76434832"/>
    <s v="Fall  2025 - 2026"/>
    <n v="99"/>
    <n v="0"/>
    <n v="13"/>
    <n v="94"/>
    <n v="0.13131313131313133"/>
    <x v="1"/>
  </r>
  <r>
    <n v="62310009"/>
    <n v="196945"/>
    <s v="Juliana"/>
    <s v="Boutros"/>
    <s v="Sebaaly"/>
    <s v="Mount Lebanon"/>
    <x v="1"/>
    <x v="0"/>
    <x v="8"/>
    <x v="8"/>
    <x v="2"/>
    <n v="96178896290"/>
    <s v="Spring  2022 - 2023"/>
    <n v="99"/>
    <n v="82"/>
    <n v="17"/>
    <n v="0"/>
    <n v="1"/>
    <x v="0"/>
  </r>
  <r>
    <n v="62430051"/>
    <n v="209472"/>
    <s v="Julien"/>
    <s v="Assaad"/>
    <s v="Reaidy"/>
    <s v="Mount Lebanon"/>
    <x v="2"/>
    <x v="0"/>
    <x v="6"/>
    <x v="6"/>
    <x v="1"/>
    <n v="71925268"/>
    <s v="Fall  2024 - 2025"/>
    <n v="99"/>
    <n v="15"/>
    <n v="12"/>
    <n v="72"/>
    <n v="0.27272727272727271"/>
    <x v="1"/>
  </r>
  <r>
    <n v="62610018"/>
    <n v="227404"/>
    <s v="Kadria"/>
    <s v="Mohamad"/>
    <s v="Rima"/>
    <s v="Mount Lebanon"/>
    <x v="1"/>
    <x v="0"/>
    <x v="12"/>
    <x v="12"/>
    <x v="1"/>
    <n v="96178917463"/>
    <s v="Spring  2025 - 2026"/>
    <n v="99"/>
    <n v="3"/>
    <n v="13"/>
    <n v="91"/>
    <n v="0.16161616161616163"/>
    <x v="1"/>
  </r>
  <r>
    <n v="62230282"/>
    <n v="189804"/>
    <s v="Kamil"/>
    <s v="Charbel"/>
    <s v="Maroun"/>
    <s v="Mount Lebanon"/>
    <x v="1"/>
    <x v="0"/>
    <x v="5"/>
    <x v="5"/>
    <x v="1"/>
    <n v="70385895"/>
    <s v="Fall  2022 - 2023"/>
    <n v="100"/>
    <n v="45"/>
    <n v="12"/>
    <n v="43"/>
    <n v="0.56999999999999995"/>
    <x v="0"/>
  </r>
  <r>
    <n v="62510043"/>
    <n v="218544"/>
    <s v="Kamil"/>
    <s v="Elias"/>
    <s v="Shahoud"/>
    <s v="Mount Lebanon"/>
    <x v="2"/>
    <x v="0"/>
    <x v="33"/>
    <x v="33"/>
    <x v="1"/>
    <n v="96178893047"/>
    <s v="Spring  2024 - 2025"/>
    <n v="99"/>
    <n v="30"/>
    <n v="12"/>
    <n v="57"/>
    <n v="0.42424242424242425"/>
    <x v="1"/>
  </r>
  <r>
    <n v="62430343"/>
    <n v="217445"/>
    <s v="Karem"/>
    <s v="Tarek"/>
    <s v="Jaber"/>
    <s v="Mount Lebanon"/>
    <x v="0"/>
    <x v="0"/>
    <x v="1"/>
    <x v="1"/>
    <x v="0"/>
    <n v="96181693890"/>
    <s v="Fall  2024 - 2025"/>
    <n v="108"/>
    <n v="30"/>
    <n v="14"/>
    <n v="64"/>
    <n v="0.40740740740740738"/>
    <x v="1"/>
  </r>
  <r>
    <n v="62430097"/>
    <n v="210063"/>
    <s v="Karen"/>
    <s v="Nicolas"/>
    <s v="Abi Haydar"/>
    <s v="Mount Lebanon"/>
    <x v="2"/>
    <x v="0"/>
    <x v="6"/>
    <x v="6"/>
    <x v="1"/>
    <n v="76103950"/>
    <s v="Fall  2024 - 2025"/>
    <n v="99"/>
    <n v="27"/>
    <n v="16"/>
    <n v="60"/>
    <n v="0.43434343434343436"/>
    <x v="1"/>
  </r>
  <r>
    <n v="62530250"/>
    <n v="224959"/>
    <s v="Karen"/>
    <s v="Wissam"/>
    <s v="Hajj Youssef"/>
    <s v="Mount Lebanon"/>
    <x v="1"/>
    <x v="0"/>
    <x v="12"/>
    <x v="12"/>
    <x v="1"/>
    <n v="96170004471"/>
    <s v="Fall  2025 - 2026"/>
    <n v="99"/>
    <n v="6"/>
    <n v="10"/>
    <n v="91"/>
    <n v="0.16161616161616163"/>
    <x v="1"/>
  </r>
  <r>
    <n v="62530115"/>
    <n v="222108"/>
    <s v="Karen"/>
    <s v="Charbel"/>
    <s v="Maroun"/>
    <s v="Mount Lebanon"/>
    <x v="3"/>
    <x v="0"/>
    <x v="20"/>
    <x v="20"/>
    <x v="2"/>
    <n v="96176824485"/>
    <s v="Fall  2025 - 2026"/>
    <n v="65"/>
    <n v="5"/>
    <n v="14"/>
    <n v="46"/>
    <n v="0.29230769230769232"/>
    <x v="1"/>
  </r>
  <r>
    <n v="62530091"/>
    <n v="223932"/>
    <s v="Karim"/>
    <s v="Hamid"/>
    <s v="El Akl"/>
    <s v="Mount Lebanon"/>
    <x v="2"/>
    <x v="0"/>
    <x v="11"/>
    <x v="11"/>
    <x v="1"/>
    <n v="81401994"/>
    <s v="Fall  2025 - 2026"/>
    <n v="99"/>
    <n v="9"/>
    <n v="15"/>
    <n v="75"/>
    <n v="0.24242424242424243"/>
    <x v="1"/>
  </r>
  <r>
    <n v="62510037"/>
    <n v="218101"/>
    <s v="Karim"/>
    <s v="Walid"/>
    <s v="Hilal"/>
    <s v="Mount Lebanon"/>
    <x v="0"/>
    <x v="0"/>
    <x v="1"/>
    <x v="1"/>
    <x v="0"/>
    <n v="96181788405"/>
    <s v="Spring  2024 - 2025"/>
    <n v="108"/>
    <n v="44"/>
    <n v="17"/>
    <n v="47"/>
    <n v="0.56481481481481477"/>
    <x v="0"/>
  </r>
  <r>
    <n v="62410052"/>
    <n v="208468"/>
    <s v="Karim"/>
    <s v="Charbel"/>
    <s v="Saab"/>
    <s v="Mount Lebanon"/>
    <x v="2"/>
    <x v="0"/>
    <x v="10"/>
    <x v="10"/>
    <x v="1"/>
    <n v="76436034"/>
    <s v="Spring  2023 - 2024"/>
    <n v="99"/>
    <n v="48"/>
    <n v="12"/>
    <n v="39"/>
    <n v="0.60606060606060608"/>
    <x v="0"/>
  </r>
  <r>
    <n v="62430256"/>
    <n v="215075"/>
    <s v="Karine"/>
    <s v="Raffi"/>
    <s v="Hajenian"/>
    <s v="Mount Lebanon"/>
    <x v="1"/>
    <x v="0"/>
    <x v="46"/>
    <x v="46"/>
    <x v="2"/>
    <n v="70315336"/>
    <s v="Fall  2024 - 2025"/>
    <n v="99"/>
    <n v="20"/>
    <n v="12"/>
    <n v="67"/>
    <n v="0.32323232323232326"/>
    <x v="1"/>
  </r>
  <r>
    <n v="62230256"/>
    <n v="189067"/>
    <s v="Karine"/>
    <s v="Levon"/>
    <s v="Topjian"/>
    <s v="Mount Lebanon"/>
    <x v="2"/>
    <x v="0"/>
    <x v="7"/>
    <x v="7"/>
    <x v="1"/>
    <n v="96178996015"/>
    <s v="Fall  2022 - 2023"/>
    <n v="99"/>
    <n v="90"/>
    <n v="9"/>
    <n v="0"/>
    <n v="1"/>
    <x v="0"/>
  </r>
  <r>
    <n v="62130187"/>
    <n v="175544"/>
    <s v="Karl"/>
    <s v="Mark"/>
    <s v="Atallah"/>
    <s v="Mount Lebanon"/>
    <x v="1"/>
    <x v="0"/>
    <x v="43"/>
    <x v="43"/>
    <x v="2"/>
    <n v="76141143"/>
    <s v="Fall  2021 - 2022"/>
    <n v="99"/>
    <n v="25"/>
    <n v="9"/>
    <n v="65"/>
    <n v="0.34343434343434343"/>
    <x v="1"/>
  </r>
  <r>
    <n v="62430211"/>
    <n v="213371"/>
    <s v="Karod Chahen"/>
    <s v="Savag"/>
    <s v="Chamelian"/>
    <s v="Mount Lebanon"/>
    <x v="2"/>
    <x v="0"/>
    <x v="3"/>
    <x v="3"/>
    <x v="1"/>
    <n v="81201588"/>
    <s v="Fall  2024 - 2025"/>
    <n v="99"/>
    <n v="48"/>
    <n v="18"/>
    <n v="33"/>
    <n v="0.66666666666666663"/>
    <x v="0"/>
  </r>
  <r>
    <n v="62510013"/>
    <n v="217790"/>
    <s v="Kegham"/>
    <s v="Alexan"/>
    <s v="Ashjian"/>
    <s v="Mount Lebanon"/>
    <x v="2"/>
    <x v="0"/>
    <x v="9"/>
    <x v="9"/>
    <x v="1"/>
    <n v="71747037"/>
    <s v="Spring  2024 - 2025"/>
    <n v="99"/>
    <n v="18"/>
    <n v="15"/>
    <n v="66"/>
    <n v="0.33333333333333331"/>
    <x v="1"/>
  </r>
  <r>
    <n v="62530088"/>
    <n v="220461"/>
    <s v="Kelly"/>
    <s v="Vicken"/>
    <s v="Mikhaelian"/>
    <s v="Mount Lebanon"/>
    <x v="2"/>
    <x v="0"/>
    <x v="9"/>
    <x v="9"/>
    <x v="1"/>
    <n v="70141907"/>
    <s v="Fall  2025 - 2026"/>
    <n v="99"/>
    <n v="3"/>
    <n v="15"/>
    <n v="81"/>
    <n v="0.18181818181818182"/>
    <x v="1"/>
  </r>
  <r>
    <n v="62430187"/>
    <n v="216429"/>
    <s v="Kevin"/>
    <s v="Miled"/>
    <s v="Abdallah"/>
    <s v="Mount Lebanon"/>
    <x v="2"/>
    <x v="0"/>
    <x v="10"/>
    <x v="10"/>
    <x v="1"/>
    <n v="3105050"/>
    <s v="Fall  2024 - 2025"/>
    <n v="99"/>
    <n v="78"/>
    <n v="15"/>
    <n v="6"/>
    <n v="0.93939393939393945"/>
    <x v="0"/>
  </r>
  <r>
    <n v="62530041"/>
    <n v="219371"/>
    <s v="Kevin"/>
    <s v="Chebel"/>
    <s v="Rahme"/>
    <s v="Mount Lebanon"/>
    <x v="2"/>
    <x v="0"/>
    <x v="11"/>
    <x v="11"/>
    <x v="1"/>
    <n v="9613156023"/>
    <s v="Fall  2025 - 2026"/>
    <n v="99"/>
    <n v="0"/>
    <n v="13"/>
    <n v="93"/>
    <n v="0.13131313131313133"/>
    <x v="1"/>
  </r>
  <r>
    <n v="62530029"/>
    <n v="222178"/>
    <s v="Kevin"/>
    <s v="Ephrem"/>
    <s v="Tannoury"/>
    <s v="Mount Lebanon"/>
    <x v="2"/>
    <x v="0"/>
    <x v="22"/>
    <x v="22"/>
    <x v="1"/>
    <n v="96176650490"/>
    <s v="Fall  2025 - 2026"/>
    <n v="99"/>
    <n v="9"/>
    <n v="13"/>
    <n v="81"/>
    <n v="0.22222222222222221"/>
    <x v="1"/>
  </r>
  <r>
    <n v="62230143"/>
    <n v="206339"/>
    <s v="Khajag"/>
    <s v="Raffi"/>
    <s v="Bakjaji"/>
    <s v="Mount Lebanon"/>
    <x v="1"/>
    <x v="0"/>
    <x v="24"/>
    <x v="24"/>
    <x v="1"/>
    <n v="76378218"/>
    <s v="Fall  2023 - 2024"/>
    <n v="108"/>
    <n v="66"/>
    <n v="15"/>
    <n v="27"/>
    <n v="0.75"/>
    <x v="0"/>
  </r>
  <r>
    <n v="62430164"/>
    <n v="213395"/>
    <s v="Khalil"/>
    <s v="Mohamad"/>
    <s v="Almutlak"/>
    <s v="Mount Lebanon"/>
    <x v="1"/>
    <x v="0"/>
    <x v="5"/>
    <x v="5"/>
    <x v="1"/>
    <n v="76340669"/>
    <s v="Fall  2024 - 2025"/>
    <n v="100"/>
    <n v="25"/>
    <n v="10"/>
    <n v="65"/>
    <n v="0.35"/>
    <x v="1"/>
  </r>
  <r>
    <n v="62310019"/>
    <n v="197167"/>
    <s v="Khalil"/>
    <s v="Hanna"/>
    <s v="Cherro"/>
    <s v="Mount Lebanon"/>
    <x v="2"/>
    <x v="0"/>
    <x v="10"/>
    <x v="10"/>
    <x v="1"/>
    <n v="81110178"/>
    <s v="Spring  2022 - 2023"/>
    <n v="99"/>
    <n v="60"/>
    <n v="15"/>
    <n v="24"/>
    <n v="0.75757575757575757"/>
    <x v="0"/>
  </r>
  <r>
    <n v="62330074"/>
    <n v="198971"/>
    <s v="Klarita"/>
    <s v="Dimitri"/>
    <s v="Stefanou"/>
    <s v="Mount Lebanon"/>
    <x v="4"/>
    <x v="0"/>
    <x v="37"/>
    <x v="37"/>
    <x v="1"/>
    <n v="96171492117"/>
    <s v="Fall  2023 - 2024"/>
    <n v="99"/>
    <n v="39"/>
    <n v="12"/>
    <n v="48"/>
    <n v="0.51515151515151514"/>
    <x v="0"/>
  </r>
  <r>
    <n v="62330280"/>
    <n v="204190"/>
    <s v="Krikor"/>
    <s v="Jack"/>
    <s v="Minassian"/>
    <s v="Mount Lebanon"/>
    <x v="2"/>
    <x v="0"/>
    <x v="6"/>
    <x v="6"/>
    <x v="1"/>
    <n v="70595014"/>
    <s v="Fall  2023 - 2024"/>
    <n v="99"/>
    <n v="87"/>
    <n v="12"/>
    <n v="0"/>
    <n v="1"/>
    <x v="0"/>
  </r>
  <r>
    <n v="62530242"/>
    <n v="224937"/>
    <s v="Laith"/>
    <s v="Ghassan"/>
    <s v="Nouraldine"/>
    <s v="Mount Lebanon"/>
    <x v="0"/>
    <x v="0"/>
    <x v="1"/>
    <x v="1"/>
    <x v="0"/>
    <n v="96178846079"/>
    <s v="Fall  2025 - 2026"/>
    <n v="108"/>
    <n v="0"/>
    <n v="18"/>
    <n v="90"/>
    <n v="0.16666666666666666"/>
    <x v="1"/>
  </r>
  <r>
    <n v="62430137"/>
    <n v="210589"/>
    <s v="Lama"/>
    <s v="Nadim"/>
    <s v="Fakher El Din"/>
    <s v="Mount Lebanon"/>
    <x v="2"/>
    <x v="0"/>
    <x v="11"/>
    <x v="11"/>
    <x v="1"/>
    <n v="81509446"/>
    <s v="Fall  2024 - 2025"/>
    <n v="99"/>
    <n v="3"/>
    <n v="13"/>
    <n v="87"/>
    <n v="0.16161616161616163"/>
    <x v="1"/>
  </r>
  <r>
    <n v="62610001"/>
    <n v="227241"/>
    <s v="Lama"/>
    <s v="Ibrahim"/>
    <s v="Kalakesh"/>
    <s v="Mount Lebanon"/>
    <x v="4"/>
    <x v="0"/>
    <x v="47"/>
    <x v="47"/>
    <x v="1"/>
    <n v="96170224446"/>
    <s v="Spring  2025 - 2026"/>
    <n v="99"/>
    <n v="0"/>
    <n v="9"/>
    <n v="90"/>
    <n v="9.0909090909090912E-2"/>
    <x v="1"/>
  </r>
  <r>
    <n v="62330332"/>
    <n v="206229"/>
    <s v="Lamice"/>
    <s v="Diab"/>
    <s v="Hamza"/>
    <s v="Mount Lebanon"/>
    <x v="1"/>
    <x v="0"/>
    <x v="2"/>
    <x v="2"/>
    <x v="1"/>
    <n v="71935036"/>
    <s v="Fall  2023 - 2024"/>
    <n v="99"/>
    <n v="27"/>
    <n v="9"/>
    <n v="63"/>
    <n v="0.36363636363636365"/>
    <x v="1"/>
  </r>
  <r>
    <n v="62410050"/>
    <n v="208477"/>
    <s v="Lamisse"/>
    <s v="Wassim"/>
    <s v="Merdas"/>
    <s v="Mount Lebanon"/>
    <x v="2"/>
    <x v="0"/>
    <x v="10"/>
    <x v="10"/>
    <x v="1"/>
    <n v="76128588"/>
    <s v="Spring  2023 - 2024"/>
    <n v="99"/>
    <n v="27"/>
    <n v="12"/>
    <n v="60"/>
    <n v="0.39393939393939392"/>
    <x v="1"/>
  </r>
  <r>
    <n v="62330069"/>
    <n v="199058"/>
    <s v="Lamita"/>
    <s v="Nohra"/>
    <s v="Hachem"/>
    <s v="Mount Lebanon"/>
    <x v="1"/>
    <x v="0"/>
    <x v="14"/>
    <x v="14"/>
    <x v="2"/>
    <n v="96170022964"/>
    <s v="Fall  2023 - 2024"/>
    <n v="105"/>
    <n v="49"/>
    <n v="12"/>
    <n v="44"/>
    <n v="0.580952380952381"/>
    <x v="0"/>
  </r>
  <r>
    <n v="62330068"/>
    <n v="199046"/>
    <s v="Lamita"/>
    <s v="Marwan"/>
    <s v="Nemer"/>
    <s v="Mount Lebanon"/>
    <x v="1"/>
    <x v="0"/>
    <x v="5"/>
    <x v="5"/>
    <x v="1"/>
    <n v="70173823"/>
    <s v="Fall  2023 - 2024"/>
    <n v="100"/>
    <n v="22"/>
    <n v="9"/>
    <n v="69"/>
    <n v="0.31"/>
    <x v="1"/>
  </r>
  <r>
    <n v="62330220"/>
    <n v="202615"/>
    <s v="Lamitta"/>
    <s v="Fadi"/>
    <s v="Gebran"/>
    <s v="Mount Lebanon"/>
    <x v="2"/>
    <x v="0"/>
    <x v="17"/>
    <x v="17"/>
    <x v="2"/>
    <n v="71098513"/>
    <s v="Fall  2023 - 2024"/>
    <n v="99"/>
    <n v="63"/>
    <n v="18"/>
    <n v="18"/>
    <n v="0.81818181818181823"/>
    <x v="0"/>
  </r>
  <r>
    <n v="62610002"/>
    <n v="227196"/>
    <s v="Lana"/>
    <s v="Maher"/>
    <s v="Alyounes"/>
    <s v="Mount Lebanon"/>
    <x v="1"/>
    <x v="0"/>
    <x v="4"/>
    <x v="4"/>
    <x v="2"/>
    <n v="81240371"/>
    <s v="Spring  2025 - 2026"/>
    <n v="105"/>
    <n v="0"/>
    <n v="10"/>
    <n v="113"/>
    <n v="9.5238095238095233E-2"/>
    <x v="1"/>
  </r>
  <r>
    <n v="62510020"/>
    <n v="217795"/>
    <s v="Lara"/>
    <s v="Saleh"/>
    <s v="Al Arab"/>
    <s v="Mount Lebanon"/>
    <x v="2"/>
    <x v="0"/>
    <x v="33"/>
    <x v="33"/>
    <x v="1"/>
    <n v="70587421"/>
    <s v="Spring  2024 - 2025"/>
    <n v="99"/>
    <n v="51"/>
    <n v="18"/>
    <n v="30"/>
    <n v="0.69696969696969702"/>
    <x v="0"/>
  </r>
  <r>
    <n v="62430083"/>
    <n v="209668"/>
    <s v="Lara"/>
    <s v="Youssef"/>
    <s v="Fakhri Al Arabi"/>
    <s v="Mount Lebanon"/>
    <x v="1"/>
    <x v="0"/>
    <x v="38"/>
    <x v="38"/>
    <x v="1"/>
    <n v="96179169630"/>
    <s v="Fall  2024 - 2025"/>
    <n v="108"/>
    <n v="57"/>
    <n v="9"/>
    <n v="42"/>
    <n v="0.61111111111111116"/>
    <x v="0"/>
  </r>
  <r>
    <n v="62530044"/>
    <n v="219806"/>
    <s v="Lava"/>
    <s v="Samir"/>
    <s v="Baker"/>
    <s v="Mount Lebanon"/>
    <x v="1"/>
    <x v="0"/>
    <x v="4"/>
    <x v="4"/>
    <x v="2"/>
    <n v="3252954"/>
    <s v="Fall  2025 - 2026"/>
    <n v="105"/>
    <n v="6"/>
    <n v="14"/>
    <n v="85"/>
    <n v="0.19047619047619047"/>
    <x v="1"/>
  </r>
  <r>
    <n v="62330158"/>
    <n v="200559"/>
    <s v="Lava"/>
    <s v="Ahmad"/>
    <s v="Cheikho"/>
    <s v="Mount Lebanon"/>
    <x v="2"/>
    <x v="0"/>
    <x v="6"/>
    <x v="6"/>
    <x v="1"/>
    <n v="81411029"/>
    <s v="Fall  2023 - 2024"/>
    <n v="99"/>
    <n v="63"/>
    <n v="18"/>
    <n v="18"/>
    <n v="0.81818181818181823"/>
    <x v="0"/>
  </r>
  <r>
    <n v="62430101"/>
    <n v="210641"/>
    <s v="Laya"/>
    <s v="Fadi"/>
    <s v="Khalil"/>
    <s v="Mount Lebanon"/>
    <x v="2"/>
    <x v="0"/>
    <x v="17"/>
    <x v="17"/>
    <x v="2"/>
    <n v="79165783"/>
    <s v="Fall  2024 - 2025"/>
    <n v="99"/>
    <n v="51"/>
    <n v="18"/>
    <n v="30"/>
    <n v="0.69696969696969702"/>
    <x v="0"/>
  </r>
  <r>
    <n v="62330128"/>
    <n v="199871"/>
    <s v="Layal"/>
    <s v="Fady"/>
    <s v="Abdel Khalek"/>
    <s v="Mount Lebanon"/>
    <x v="1"/>
    <x v="0"/>
    <x v="5"/>
    <x v="5"/>
    <x v="1"/>
    <n v="70520043"/>
    <s v="Fall  2023 - 2024"/>
    <n v="100"/>
    <n v="63"/>
    <n v="15"/>
    <n v="22"/>
    <n v="0.78"/>
    <x v="0"/>
  </r>
  <r>
    <n v="62030221"/>
    <n v="157931"/>
    <s v="Layane"/>
    <s v="Maarouf"/>
    <s v="Awad"/>
    <s v="Mount Lebanon"/>
    <x v="2"/>
    <x v="0"/>
    <x v="6"/>
    <x v="6"/>
    <x v="1"/>
    <n v="71851045"/>
    <s v="Fall  2020 - 2021"/>
    <n v="99"/>
    <n v="93"/>
    <n v="6"/>
    <n v="0"/>
    <n v="1"/>
    <x v="0"/>
  </r>
  <r>
    <n v="62530136"/>
    <n v="222256"/>
    <s v="Layla"/>
    <s v="Faez"/>
    <s v="Halal"/>
    <s v="Mount Lebanon"/>
    <x v="1"/>
    <x v="0"/>
    <x v="4"/>
    <x v="4"/>
    <x v="2"/>
    <n v="81322790"/>
    <s v="Fall  2025 - 2026"/>
    <n v="105"/>
    <n v="3"/>
    <n v="13"/>
    <n v="103"/>
    <n v="0.15238095238095239"/>
    <x v="1"/>
  </r>
  <r>
    <n v="62430033"/>
    <n v="213641"/>
    <s v="Lea"/>
    <s v="Joseph"/>
    <s v="Abdo"/>
    <s v="Mount Lebanon"/>
    <x v="3"/>
    <x v="0"/>
    <x v="20"/>
    <x v="20"/>
    <x v="2"/>
    <n v="96181949759"/>
    <s v="Fall  2024 - 2025"/>
    <n v="65"/>
    <n v="38"/>
    <n v="15"/>
    <n v="12"/>
    <n v="0.81538461538461537"/>
    <x v="0"/>
  </r>
  <r>
    <n v="62230093"/>
    <n v="188656"/>
    <s v="Lea"/>
    <s v="Charbel"/>
    <s v="Al Sebaaly"/>
    <s v="Mount Lebanon"/>
    <x v="2"/>
    <x v="0"/>
    <x v="10"/>
    <x v="10"/>
    <x v="1"/>
    <n v="76163037"/>
    <s v="Fall  2022 - 2023"/>
    <n v="99"/>
    <n v="81"/>
    <n v="18"/>
    <n v="0"/>
    <n v="1"/>
    <x v="0"/>
  </r>
  <r>
    <n v="62530261"/>
    <n v="225719"/>
    <s v="Lea"/>
    <s v="Mateos"/>
    <s v="Baghamian"/>
    <s v="Mount Lebanon"/>
    <x v="1"/>
    <x v="0"/>
    <x v="27"/>
    <x v="27"/>
    <x v="1"/>
    <n v="81294843"/>
    <s v="Fall  2025 - 2026"/>
    <n v="108"/>
    <n v="6"/>
    <n v="12"/>
    <n v="90"/>
    <n v="0.16666666666666666"/>
    <x v="1"/>
  </r>
  <r>
    <n v="62330062"/>
    <n v="199048"/>
    <s v="Lea"/>
    <s v="Walid"/>
    <s v="Chehade"/>
    <s v="Mount Lebanon"/>
    <x v="1"/>
    <x v="0"/>
    <x v="15"/>
    <x v="15"/>
    <x v="1"/>
    <n v="96171267323"/>
    <s v="Fall  2023 - 2024"/>
    <n v="99"/>
    <n v="55"/>
    <n v="16"/>
    <n v="28"/>
    <n v="0.71717171717171713"/>
    <x v="0"/>
  </r>
  <r>
    <n v="62530164"/>
    <n v="225845"/>
    <s v="Lea"/>
    <s v="Tony"/>
    <s v="Fares"/>
    <s v="Mount Lebanon"/>
    <x v="1"/>
    <x v="0"/>
    <x v="12"/>
    <x v="12"/>
    <x v="1"/>
    <n v="76342904"/>
    <s v="Fall  2025 - 2026"/>
    <n v="99"/>
    <n v="24"/>
    <n v="15"/>
    <n v="60"/>
    <n v="0.39393939393939392"/>
    <x v="1"/>
  </r>
  <r>
    <n v="62330295"/>
    <n v="205243"/>
    <s v="Lea"/>
    <s v="Roger"/>
    <s v="Ghandour"/>
    <s v="Mount Lebanon"/>
    <x v="2"/>
    <x v="0"/>
    <x v="3"/>
    <x v="3"/>
    <x v="1"/>
    <n v="96170679643"/>
    <s v="Fall  2023 - 2024"/>
    <n v="99"/>
    <n v="63"/>
    <n v="18"/>
    <n v="18"/>
    <n v="0.81818181818181823"/>
    <x v="0"/>
  </r>
  <r>
    <n v="62430148"/>
    <n v="210615"/>
    <s v="Lea"/>
    <s v="Ahmad"/>
    <s v="Jassar"/>
    <s v="Mount Lebanon"/>
    <x v="1"/>
    <x v="0"/>
    <x v="15"/>
    <x v="15"/>
    <x v="1"/>
    <n v="71863154"/>
    <s v="Fall  2024 - 2025"/>
    <n v="99"/>
    <n v="24"/>
    <n v="12"/>
    <n v="63"/>
    <n v="0.36363636363636365"/>
    <x v="1"/>
  </r>
  <r>
    <n v="62510027"/>
    <n v="217801"/>
    <s v="Lea"/>
    <s v="Youssef"/>
    <s v="Maroun"/>
    <s v="Mount Lebanon"/>
    <x v="2"/>
    <x v="0"/>
    <x v="42"/>
    <x v="42"/>
    <x v="1"/>
    <n v="3284140"/>
    <s v="Spring  2024 - 2025"/>
    <n v="99"/>
    <n v="27"/>
    <n v="15"/>
    <n v="57"/>
    <n v="0.42424242424242425"/>
    <x v="1"/>
  </r>
  <r>
    <n v="62430039"/>
    <n v="209474"/>
    <s v="Lea"/>
    <s v="Fadi"/>
    <s v="Melhem"/>
    <s v="Mount Lebanon"/>
    <x v="1"/>
    <x v="0"/>
    <x v="15"/>
    <x v="15"/>
    <x v="1"/>
    <n v="81406348"/>
    <s v="Fall  2024 - 2025"/>
    <n v="99"/>
    <n v="43"/>
    <n v="19"/>
    <n v="37"/>
    <n v="0.6262626262626263"/>
    <x v="0"/>
  </r>
  <r>
    <n v="62430061"/>
    <n v="209712"/>
    <s v="Lea"/>
    <s v="Bechara"/>
    <s v="Saad"/>
    <s v="Mount Lebanon"/>
    <x v="2"/>
    <x v="0"/>
    <x v="7"/>
    <x v="7"/>
    <x v="1"/>
    <n v="96181853680"/>
    <s v="Fall  2024 - 2025"/>
    <n v="99"/>
    <n v="39"/>
    <n v="15"/>
    <n v="45"/>
    <n v="0.54545454545454541"/>
    <x v="0"/>
  </r>
  <r>
    <n v="62130465"/>
    <n v="180094"/>
    <s v="Lea"/>
    <s v="Radwan"/>
    <s v="Zeayter"/>
    <s v="Mount Lebanon"/>
    <x v="1"/>
    <x v="0"/>
    <x v="14"/>
    <x v="14"/>
    <x v="2"/>
    <n v="71650287"/>
    <s v="Fall  2021 - 2022"/>
    <n v="105"/>
    <n v="99"/>
    <n v="6"/>
    <n v="0"/>
    <n v="1"/>
    <x v="0"/>
  </r>
  <r>
    <n v="62430018"/>
    <n v="209308"/>
    <s v="Leelava"/>
    <s v="Loqman"/>
    <s v="Almidany"/>
    <s v="Mount Lebanon"/>
    <x v="1"/>
    <x v="0"/>
    <x v="14"/>
    <x v="14"/>
    <x v="2"/>
    <n v="96178851440"/>
    <s v="Fall  2024 - 2025"/>
    <n v="105"/>
    <n v="21"/>
    <n v="14"/>
    <n v="70"/>
    <n v="0.33333333333333331"/>
    <x v="1"/>
  </r>
  <r>
    <n v="62230181"/>
    <n v="187261"/>
    <s v="Lewaa"/>
    <s v="Wael"/>
    <s v="Arabi"/>
    <s v="Mount Lebanon"/>
    <x v="2"/>
    <x v="0"/>
    <x v="3"/>
    <x v="3"/>
    <x v="1"/>
    <n v="76580467"/>
    <s v="Fall  2022 - 2023"/>
    <n v="99"/>
    <n v="48"/>
    <n v="18"/>
    <n v="33"/>
    <n v="0.66666666666666663"/>
    <x v="0"/>
  </r>
  <r>
    <n v="62430170"/>
    <n v="212176"/>
    <s v="Lianna"/>
    <s v="Meshak"/>
    <s v="Hazarabedian"/>
    <s v="Mount Lebanon"/>
    <x v="1"/>
    <x v="0"/>
    <x v="2"/>
    <x v="2"/>
    <x v="1"/>
    <n v="76188694"/>
    <s v="Fall  2024 - 2025"/>
    <n v="99"/>
    <n v="15"/>
    <n v="12"/>
    <n v="72"/>
    <n v="0.27272727272727271"/>
    <x v="1"/>
  </r>
  <r>
    <n v="62510032"/>
    <n v="218004"/>
    <s v="Lila"/>
    <s v="Sarhad"/>
    <s v="Makdessian"/>
    <s v="Mount Lebanon"/>
    <x v="1"/>
    <x v="0"/>
    <x v="48"/>
    <x v="48"/>
    <x v="1"/>
    <n v="70253436"/>
    <s v="Spring  2024 - 2025"/>
    <n v="108"/>
    <n v="75"/>
    <n v="18"/>
    <n v="15"/>
    <n v="0.86111111111111116"/>
    <x v="0"/>
  </r>
  <r>
    <n v="62330342"/>
    <n v="206289"/>
    <s v="Liwaa"/>
    <s v="Wajdi"/>
    <s v="Al Dibes"/>
    <s v="Mount Lebanon"/>
    <x v="2"/>
    <x v="0"/>
    <x v="7"/>
    <x v="7"/>
    <x v="1"/>
    <n v="96171966329"/>
    <s v="Fall  2023 - 2024"/>
    <n v="99"/>
    <n v="36"/>
    <n v="15"/>
    <n v="48"/>
    <n v="0.51515151515151514"/>
    <x v="0"/>
  </r>
  <r>
    <n v="62330133"/>
    <n v="199846"/>
    <s v="Louay"/>
    <s v="Fouad"/>
    <s v="Zneit"/>
    <s v="Mount Lebanon"/>
    <x v="2"/>
    <x v="0"/>
    <x v="6"/>
    <x v="6"/>
    <x v="1"/>
    <n v="96170600418"/>
    <s v="Fall  2023 - 2024"/>
    <n v="99"/>
    <n v="0"/>
    <n v="10"/>
    <n v="97"/>
    <n v="0.10101010101010101"/>
    <x v="1"/>
  </r>
  <r>
    <n v="62330046"/>
    <n v="198762"/>
    <s v="Louie"/>
    <s v="George"/>
    <s v="Younes"/>
    <s v="Mount Lebanon"/>
    <x v="2"/>
    <x v="0"/>
    <x v="17"/>
    <x v="17"/>
    <x v="2"/>
    <n v="70175573"/>
    <s v="Fall  2023 - 2024"/>
    <n v="99"/>
    <n v="27"/>
    <n v="15"/>
    <n v="57"/>
    <n v="0.42424242424242425"/>
    <x v="1"/>
  </r>
  <r>
    <n v="62410046"/>
    <n v="208515"/>
    <s v="Louis"/>
    <s v="Tony"/>
    <s v="Tenn"/>
    <s v="Mount Lebanon"/>
    <x v="0"/>
    <x v="0"/>
    <x v="25"/>
    <x v="25"/>
    <x v="2"/>
    <n v="76311360"/>
    <s v="Spring  2023 - 2024"/>
    <n v="114"/>
    <n v="10"/>
    <n v="18"/>
    <n v="80"/>
    <n v="0.24561403508771928"/>
    <x v="1"/>
  </r>
  <r>
    <n v="62330227"/>
    <n v="202667"/>
    <s v="Luciana Serly"/>
    <s v="Harout"/>
    <s v="Diratsouyan"/>
    <s v="Mount Lebanon"/>
    <x v="1"/>
    <x v="0"/>
    <x v="2"/>
    <x v="2"/>
    <x v="1"/>
    <n v="96171291897"/>
    <s v="Fall  2023 - 2024"/>
    <n v="99"/>
    <n v="42"/>
    <n v="12"/>
    <n v="45"/>
    <n v="0.54545454545454541"/>
    <x v="0"/>
  </r>
  <r>
    <n v="62230316"/>
    <n v="191711"/>
    <s v="Luz Maria"/>
    <s v="Fadi"/>
    <s v="Bechara"/>
    <s v="Mount Lebanon"/>
    <x v="2"/>
    <x v="0"/>
    <x v="3"/>
    <x v="3"/>
    <x v="1"/>
    <n v="96170316313"/>
    <s v="Fall  2022 - 2023"/>
    <n v="99"/>
    <n v="66"/>
    <n v="15"/>
    <n v="18"/>
    <n v="0.81818181818181823"/>
    <x v="0"/>
  </r>
  <r>
    <n v="62530039"/>
    <n v="219380"/>
    <s v="Lynn"/>
    <s v="Mohamad"/>
    <s v="Berro"/>
    <s v="Mount Lebanon"/>
    <x v="2"/>
    <x v="0"/>
    <x v="9"/>
    <x v="9"/>
    <x v="1"/>
    <n v="96181093178"/>
    <s v="Fall  2025 - 2026"/>
    <n v="99"/>
    <n v="6"/>
    <n v="12"/>
    <n v="81"/>
    <n v="0.18181818181818182"/>
    <x v="1"/>
  </r>
  <r>
    <n v="62510018"/>
    <n v="217791"/>
    <s v="Lynn"/>
    <s v="Jean"/>
    <s v="Bouonok El Bejjani"/>
    <s v="Mount Lebanon"/>
    <x v="1"/>
    <x v="0"/>
    <x v="12"/>
    <x v="12"/>
    <x v="1"/>
    <n v="9614926138"/>
    <s v="Spring  2024 - 2025"/>
    <n v="99"/>
    <n v="18"/>
    <n v="9"/>
    <n v="72"/>
    <n v="0.27272727272727271"/>
    <x v="1"/>
  </r>
  <r>
    <n v="62330101"/>
    <n v="199825"/>
    <s v="Lynn"/>
    <s v="Khoder"/>
    <s v="Damen"/>
    <s v="Mount Lebanon"/>
    <x v="1"/>
    <x v="0"/>
    <x v="15"/>
    <x v="15"/>
    <x v="1"/>
    <n v="70342310"/>
    <s v="Fall  2023 - 2024"/>
    <n v="99"/>
    <n v="84"/>
    <n v="15"/>
    <n v="0"/>
    <n v="1"/>
    <x v="0"/>
  </r>
  <r>
    <n v="62230371"/>
    <n v="192409"/>
    <s v="Lynn"/>
    <s v="Khaled"/>
    <s v="Kaddour"/>
    <s v="Mount Lebanon"/>
    <x v="2"/>
    <x v="0"/>
    <x v="6"/>
    <x v="6"/>
    <x v="1"/>
    <n v="71603286"/>
    <s v="Fall  2022 - 2023"/>
    <n v="99"/>
    <n v="66"/>
    <n v="18"/>
    <n v="15"/>
    <n v="0.84848484848484851"/>
    <x v="0"/>
  </r>
  <r>
    <n v="62230197"/>
    <n v="189166"/>
    <s v="Lynn"/>
    <s v="Kamil"/>
    <s v="Youssef"/>
    <s v="Mount Lebanon"/>
    <x v="1"/>
    <x v="0"/>
    <x v="34"/>
    <x v="34"/>
    <x v="1"/>
    <n v="96181862320"/>
    <s v="Fall  2022 - 2023"/>
    <n v="108"/>
    <n v="78"/>
    <n v="18"/>
    <n v="12"/>
    <n v="0.88888888888888884"/>
    <x v="0"/>
  </r>
  <r>
    <n v="62330131"/>
    <n v="200553"/>
    <s v="Lynne"/>
    <s v="Samir"/>
    <s v="Jaber"/>
    <s v="Mount Lebanon"/>
    <x v="2"/>
    <x v="0"/>
    <x v="6"/>
    <x v="6"/>
    <x v="1"/>
    <n v="96171200278"/>
    <s v="Fall  2023 - 2024"/>
    <n v="99"/>
    <n v="60"/>
    <n v="15"/>
    <n v="24"/>
    <n v="0.75757575757575757"/>
    <x v="0"/>
  </r>
  <r>
    <n v="62430048"/>
    <n v="209480"/>
    <s v="Mabelle"/>
    <s v="Mohamad"/>
    <s v="Berro"/>
    <s v="Mount Lebanon"/>
    <x v="2"/>
    <x v="0"/>
    <x v="7"/>
    <x v="7"/>
    <x v="1"/>
    <n v="96176949510"/>
    <s v="Fall  2024 - 2025"/>
    <n v="99"/>
    <n v="33"/>
    <n v="12"/>
    <n v="54"/>
    <n v="0.45454545454545453"/>
    <x v="1"/>
  </r>
  <r>
    <n v="62530067"/>
    <n v="225972"/>
    <s v="Mabelle"/>
    <s v="Halim"/>
    <s v="Naim"/>
    <s v="Mount Lebanon"/>
    <x v="3"/>
    <x v="0"/>
    <x v="20"/>
    <x v="20"/>
    <x v="2"/>
    <n v="96171510999"/>
    <s v="Fall  2025 - 2026"/>
    <n v="65"/>
    <n v="39"/>
    <n v="15"/>
    <n v="11"/>
    <n v="0.83076923076923082"/>
    <x v="0"/>
  </r>
  <r>
    <n v="62530131"/>
    <n v="222291"/>
    <s v="Mabelle"/>
    <s v="Chadi"/>
    <s v="Yarak"/>
    <s v="Mount Lebanon"/>
    <x v="0"/>
    <x v="0"/>
    <x v="18"/>
    <x v="18"/>
    <x v="0"/>
    <n v="71620816"/>
    <s v="Fall  2025 - 2026"/>
    <n v="108"/>
    <n v="6"/>
    <n v="14"/>
    <n v="92"/>
    <n v="0.18518518518518517"/>
    <x v="1"/>
  </r>
  <r>
    <n v="62330138"/>
    <n v="200554"/>
    <s v="Maggie"/>
    <s v="Youssef"/>
    <s v="Abi Kamel"/>
    <s v="Mount Lebanon"/>
    <x v="1"/>
    <x v="0"/>
    <x v="5"/>
    <x v="5"/>
    <x v="1"/>
    <n v="96181712475"/>
    <s v="Fall  2023 - 2024"/>
    <n v="100"/>
    <n v="87"/>
    <n v="16"/>
    <n v="0"/>
    <n v="1.03"/>
    <x v="0"/>
  </r>
  <r>
    <n v="62430088"/>
    <n v="211361"/>
    <s v="Maha"/>
    <s v="Mohammad"/>
    <s v="Mansour"/>
    <s v="Mount Lebanon"/>
    <x v="1"/>
    <x v="0"/>
    <x v="14"/>
    <x v="14"/>
    <x v="2"/>
    <n v="71899025"/>
    <s v="Fall  2024 - 2025"/>
    <n v="105"/>
    <n v="86"/>
    <n v="9"/>
    <n v="10"/>
    <n v="0.90476190476190477"/>
    <x v="0"/>
  </r>
  <r>
    <n v="62230200"/>
    <n v="188118"/>
    <s v="Mahdi"/>
    <s v="Mohammad"/>
    <s v="Shehazi"/>
    <s v="Mount Lebanon"/>
    <x v="2"/>
    <x v="0"/>
    <x v="10"/>
    <x v="10"/>
    <x v="1"/>
    <n v="76345740"/>
    <s v="Fall  2022 - 2023"/>
    <n v="99"/>
    <n v="84"/>
    <n v="15"/>
    <n v="0"/>
    <n v="1"/>
    <x v="0"/>
  </r>
  <r>
    <n v="62210079"/>
    <n v="183747"/>
    <s v="Maher"/>
    <s v="Mehsen"/>
    <s v="Al Dibs"/>
    <s v="Mount Lebanon"/>
    <x v="2"/>
    <x v="0"/>
    <x v="30"/>
    <x v="30"/>
    <x v="1"/>
    <n v="71179424"/>
    <s v="Spring  2021 - 2022"/>
    <n v="99"/>
    <n v="72"/>
    <n v="15"/>
    <n v="12"/>
    <n v="0.87878787878787878"/>
    <x v="0"/>
  </r>
  <r>
    <n v="62610009"/>
    <n v="227144"/>
    <s v="Mahmoud"/>
    <s v="Mohammad"/>
    <s v="Shawa"/>
    <s v="Mount Lebanon"/>
    <x v="1"/>
    <x v="0"/>
    <x v="35"/>
    <x v="35"/>
    <x v="1"/>
    <n v="96176670845"/>
    <s v="Spring  2025 - 2026"/>
    <n v="99"/>
    <n v="0"/>
    <n v="11"/>
    <n v="104"/>
    <n v="0.1111111111111111"/>
    <x v="1"/>
  </r>
  <r>
    <n v="62530076"/>
    <n v="219785"/>
    <s v="Maickel"/>
    <s v="Jack"/>
    <s v="Bou Issa"/>
    <s v="Mount Lebanon"/>
    <x v="1"/>
    <x v="0"/>
    <x v="35"/>
    <x v="35"/>
    <x v="1"/>
    <n v="9613055627"/>
    <s v="Fall  2025 - 2026"/>
    <n v="99"/>
    <n v="0"/>
    <n v="13"/>
    <n v="91"/>
    <n v="0.13131313131313133"/>
    <x v="1"/>
  </r>
  <r>
    <n v="62330242"/>
    <n v="203687"/>
    <s v="Majd"/>
    <s v="Rabih"/>
    <s v="Al Kazzaz"/>
    <s v="Mount Lebanon"/>
    <x v="2"/>
    <x v="0"/>
    <x v="6"/>
    <x v="6"/>
    <x v="1"/>
    <n v="81252382"/>
    <s v="Fall  2023 - 2024"/>
    <n v="99"/>
    <n v="69"/>
    <n v="15"/>
    <n v="15"/>
    <n v="0.84848484848484851"/>
    <x v="0"/>
  </r>
  <r>
    <n v="62430129"/>
    <n v="210673"/>
    <s v="Majd"/>
    <s v="Georges"/>
    <s v="Al Murr"/>
    <s v="Mount Lebanon"/>
    <x v="0"/>
    <x v="0"/>
    <x v="16"/>
    <x v="16"/>
    <x v="0"/>
    <n v="81383762"/>
    <s v="Fall  2024 - 2025"/>
    <n v="108"/>
    <n v="41"/>
    <n v="12"/>
    <n v="55"/>
    <n v="0.49074074074074076"/>
    <x v="1"/>
  </r>
  <r>
    <n v="62510052"/>
    <n v="218399"/>
    <s v="Majd"/>
    <s v="Tannous"/>
    <s v="Daher"/>
    <s v="Mount Lebanon"/>
    <x v="0"/>
    <x v="0"/>
    <x v="1"/>
    <x v="1"/>
    <x v="0"/>
    <n v="3384259"/>
    <s v="Spring  2024 - 2025"/>
    <n v="108"/>
    <n v="18"/>
    <n v="16"/>
    <n v="74"/>
    <n v="0.31481481481481483"/>
    <x v="1"/>
  </r>
  <r>
    <n v="62430114"/>
    <n v="210643"/>
    <s v="Majd"/>
    <s v="Dani"/>
    <s v="Doumit"/>
    <s v="Mount Lebanon"/>
    <x v="2"/>
    <x v="0"/>
    <x v="3"/>
    <x v="3"/>
    <x v="1"/>
    <n v="79168890"/>
    <s v="Fall  2024 - 2025"/>
    <n v="99"/>
    <n v="45"/>
    <n v="18"/>
    <n v="36"/>
    <n v="0.63636363636363635"/>
    <x v="0"/>
  </r>
  <r>
    <n v="62230159"/>
    <n v="189108"/>
    <s v="Majd"/>
    <s v="Mounir"/>
    <s v="Slim"/>
    <s v="Mount Lebanon"/>
    <x v="2"/>
    <x v="0"/>
    <x v="6"/>
    <x v="6"/>
    <x v="1"/>
    <n v="76559337"/>
    <s v="Fall  2022 - 2023"/>
    <n v="99"/>
    <n v="87"/>
    <n v="12"/>
    <n v="0"/>
    <n v="1"/>
    <x v="0"/>
  </r>
  <r>
    <n v="61630286"/>
    <n v="227747"/>
    <s v="Majed"/>
    <s v="Mohamed Khaled"/>
    <s v="Elazak"/>
    <s v="Mount Lebanon"/>
    <x v="2"/>
    <x v="0"/>
    <x v="22"/>
    <x v="22"/>
    <x v="1"/>
    <n v="71948327"/>
    <s v="Spring  2025 - 2026"/>
    <n v="99"/>
    <n v="0"/>
    <n v="9"/>
    <n v="0"/>
    <n v="9.0909090909090912E-2"/>
    <x v="1"/>
  </r>
  <r>
    <n v="62230404"/>
    <n v="215594"/>
    <s v="Malek"/>
    <s v="Salim"/>
    <s v="Al Dana"/>
    <s v="Mount Lebanon"/>
    <x v="1"/>
    <x v="0"/>
    <x v="34"/>
    <x v="34"/>
    <x v="1"/>
    <n v="70491075"/>
    <s v="Fall  2024 - 2025"/>
    <n v="108"/>
    <n v="48"/>
    <n v="18"/>
    <n v="42"/>
    <n v="0.61111111111111116"/>
    <x v="0"/>
  </r>
  <r>
    <n v="62130451"/>
    <n v="178969"/>
    <s v="Manuella"/>
    <s v="Toni"/>
    <s v="Khater"/>
    <s v="Mount Lebanon"/>
    <x v="1"/>
    <x v="0"/>
    <x v="12"/>
    <x v="12"/>
    <x v="1"/>
    <n v="96176570007"/>
    <s v="Fall  2021 - 2022"/>
    <n v="99"/>
    <n v="12"/>
    <n v="15"/>
    <n v="72"/>
    <n v="0.27272727272727271"/>
    <x v="1"/>
  </r>
  <r>
    <n v="62430034"/>
    <n v="209481"/>
    <s v="Marc"/>
    <s v="Fadi"/>
    <s v="Ghandour"/>
    <s v="Mount Lebanon"/>
    <x v="2"/>
    <x v="0"/>
    <x v="17"/>
    <x v="17"/>
    <x v="2"/>
    <n v="76510950"/>
    <s v="Fall  2024 - 2025"/>
    <n v="99"/>
    <n v="27"/>
    <n v="12"/>
    <n v="60"/>
    <n v="0.39393939393939392"/>
    <x v="1"/>
  </r>
  <r>
    <n v="62430302"/>
    <n v="216376"/>
    <s v="Marc"/>
    <s v="Emile"/>
    <s v="Issa"/>
    <s v="Mount Lebanon"/>
    <x v="2"/>
    <x v="0"/>
    <x v="6"/>
    <x v="6"/>
    <x v="1"/>
    <n v="70458604"/>
    <s v="Fall  2024 - 2025"/>
    <n v="99"/>
    <n v="3"/>
    <n v="9"/>
    <n v="90"/>
    <n v="0.12121212121212122"/>
    <x v="1"/>
  </r>
  <r>
    <n v="62230150"/>
    <n v="187257"/>
    <s v="Marc"/>
    <s v="Antoine"/>
    <s v="Khoury"/>
    <s v="Mount Lebanon"/>
    <x v="1"/>
    <x v="0"/>
    <x v="5"/>
    <x v="5"/>
    <x v="1"/>
    <n v="81675316"/>
    <s v="Fall  2022 - 2023"/>
    <n v="100"/>
    <n v="37"/>
    <n v="10"/>
    <n v="53"/>
    <n v="0.47"/>
    <x v="1"/>
  </r>
  <r>
    <n v="62030073"/>
    <n v="152628"/>
    <s v="Marc"/>
    <s v="Antoine"/>
    <s v="Mouawad"/>
    <s v="Mount Lebanon"/>
    <x v="0"/>
    <x v="0"/>
    <x v="1"/>
    <x v="1"/>
    <x v="0"/>
    <n v="81284350"/>
    <s v="Fall  2020 - 2021"/>
    <n v="108"/>
    <n v="90"/>
    <n v="18"/>
    <n v="0"/>
    <n v="1"/>
    <x v="0"/>
  </r>
  <r>
    <n v="62530187"/>
    <n v="223970"/>
    <s v="Marc"/>
    <s v="Mikhael"/>
    <s v="Saliba"/>
    <s v="Mount Lebanon"/>
    <x v="0"/>
    <x v="0"/>
    <x v="29"/>
    <x v="29"/>
    <x v="0"/>
    <n v="81324056"/>
    <s v="Fall  2025 - 2026"/>
    <n v="108"/>
    <n v="12"/>
    <n v="11"/>
    <n v="85"/>
    <n v="0.21296296296296297"/>
    <x v="1"/>
  </r>
  <r>
    <n v="62430030"/>
    <n v="220304"/>
    <s v="Marguerita"/>
    <s v="Ziad"/>
    <s v="El Khoury"/>
    <s v="Mount Lebanon"/>
    <x v="1"/>
    <x v="0"/>
    <x v="48"/>
    <x v="48"/>
    <x v="1"/>
    <n v="81337360"/>
    <s v="Fall  2025 - 2026"/>
    <n v="108"/>
    <n v="18"/>
    <n v="15"/>
    <n v="0"/>
    <n v="0.30555555555555558"/>
    <x v="1"/>
  </r>
  <r>
    <n v="62230411"/>
    <n v="194181"/>
    <s v="Marguerite"/>
    <s v="Michel"/>
    <s v="Andrea"/>
    <s v="Mount Lebanon"/>
    <x v="1"/>
    <x v="0"/>
    <x v="14"/>
    <x v="14"/>
    <x v="2"/>
    <n v="96181630011"/>
    <s v="Fall  2022 - 2023"/>
    <n v="105"/>
    <n v="93"/>
    <n v="12"/>
    <n v="0"/>
    <n v="1"/>
    <x v="0"/>
  </r>
  <r>
    <n v="62030009"/>
    <n v="151590"/>
    <s v="Maria"/>
    <s v="Charles"/>
    <s v="Arrouk"/>
    <s v="Mount Lebanon"/>
    <x v="2"/>
    <x v="0"/>
    <x v="17"/>
    <x v="17"/>
    <x v="2"/>
    <n v="96181818332"/>
    <s v="Fall  2020 - 2021"/>
    <n v="99"/>
    <n v="93"/>
    <n v="9"/>
    <n v="0"/>
    <n v="1.0303030303030303"/>
    <x v="0"/>
  </r>
  <r>
    <n v="62430128"/>
    <n v="213774"/>
    <s v="Maria"/>
    <s v="Miled"/>
    <s v="Awad"/>
    <s v="Mount Lebanon"/>
    <x v="1"/>
    <x v="0"/>
    <x v="14"/>
    <x v="14"/>
    <x v="2"/>
    <n v="70521181"/>
    <s v="Fall  2024 - 2025"/>
    <n v="105"/>
    <n v="30"/>
    <n v="15"/>
    <n v="60"/>
    <n v="0.42857142857142855"/>
    <x v="1"/>
  </r>
  <r>
    <n v="62210038"/>
    <n v="182030"/>
    <s v="Maria"/>
    <s v="Mourice"/>
    <s v="Chamoun"/>
    <s v="Mount Lebanon"/>
    <x v="1"/>
    <x v="0"/>
    <x v="5"/>
    <x v="5"/>
    <x v="1"/>
    <n v="96181711138"/>
    <s v="Spring  2021 - 2022"/>
    <n v="100"/>
    <n v="31"/>
    <n v="9"/>
    <n v="60"/>
    <n v="0.4"/>
    <x v="1"/>
  </r>
  <r>
    <n v="62530161"/>
    <n v="222897"/>
    <s v="Maria"/>
    <s v="Adel"/>
    <s v="Chedrawi"/>
    <s v="Mount Lebanon"/>
    <x v="1"/>
    <x v="0"/>
    <x v="49"/>
    <x v="49"/>
    <x v="2"/>
    <n v="71012782"/>
    <s v="Fall  2025 - 2026"/>
    <n v="99"/>
    <n v="37"/>
    <n v="13"/>
    <n v="49"/>
    <n v="0.50505050505050508"/>
    <x v="0"/>
  </r>
  <r>
    <n v="62530059"/>
    <n v="222365"/>
    <s v="Maria"/>
    <s v="Youssef"/>
    <s v="Deaibess"/>
    <s v="Mount Lebanon"/>
    <x v="3"/>
    <x v="0"/>
    <x v="20"/>
    <x v="20"/>
    <x v="2"/>
    <n v="96176623263"/>
    <s v="Fall  2025 - 2026"/>
    <n v="65"/>
    <n v="11"/>
    <n v="17"/>
    <n v="37"/>
    <n v="0.43076923076923079"/>
    <x v="1"/>
  </r>
  <r>
    <n v="62530058"/>
    <n v="219799"/>
    <s v="Maria"/>
    <s v="Ohaness"/>
    <s v="Dekermendjian"/>
    <s v="Mount Lebanon"/>
    <x v="2"/>
    <x v="0"/>
    <x v="11"/>
    <x v="11"/>
    <x v="1"/>
    <n v="70397894"/>
    <s v="Fall  2025 - 2026"/>
    <n v="99"/>
    <n v="9"/>
    <n v="18"/>
    <n v="72"/>
    <n v="0.27272727272727271"/>
    <x v="1"/>
  </r>
  <r>
    <n v="62330254"/>
    <n v="203706"/>
    <s v="Maria"/>
    <s v="Henry"/>
    <s v="Eid"/>
    <s v="Mount Lebanon"/>
    <x v="1"/>
    <x v="0"/>
    <x v="8"/>
    <x v="8"/>
    <x v="2"/>
    <n v="96176973019"/>
    <s v="Fall  2023 - 2024"/>
    <n v="99"/>
    <n v="54"/>
    <n v="14"/>
    <n v="31"/>
    <n v="0.68686868686868685"/>
    <x v="0"/>
  </r>
  <r>
    <n v="62430007"/>
    <n v="209303"/>
    <s v="Maria"/>
    <s v="Ayoub"/>
    <s v="El Haber"/>
    <s v="Mount Lebanon"/>
    <x v="1"/>
    <x v="0"/>
    <x v="2"/>
    <x v="2"/>
    <x v="1"/>
    <n v="70463784"/>
    <s v="Fall  2024 - 2025"/>
    <n v="99"/>
    <n v="52"/>
    <n v="16"/>
    <n v="31"/>
    <n v="0.68686868686868685"/>
    <x v="0"/>
  </r>
  <r>
    <n v="62130149"/>
    <n v="168615"/>
    <s v="Maria"/>
    <s v="Jean"/>
    <s v="Farha"/>
    <s v="Mount Lebanon"/>
    <x v="2"/>
    <x v="0"/>
    <x v="3"/>
    <x v="3"/>
    <x v="1"/>
    <n v="96176850768"/>
    <s v="Fall  2021 - 2022"/>
    <n v="99"/>
    <n v="87"/>
    <n v="12"/>
    <n v="0"/>
    <n v="1"/>
    <x v="0"/>
  </r>
  <r>
    <n v="62430216"/>
    <n v="213323"/>
    <s v="Maria"/>
    <s v="Elie"/>
    <s v="Kanaan"/>
    <s v="Mount Lebanon"/>
    <x v="2"/>
    <x v="0"/>
    <x v="6"/>
    <x v="6"/>
    <x v="1"/>
    <n v="96181046628"/>
    <s v="Fall  2024 - 2025"/>
    <n v="99"/>
    <n v="0"/>
    <n v="9"/>
    <n v="96"/>
    <n v="9.0909090909090912E-2"/>
    <x v="1"/>
  </r>
  <r>
    <n v="62330361"/>
    <n v="207361"/>
    <s v="Maria"/>
    <s v="Boulos"/>
    <s v="Makhoul"/>
    <s v="Mount Lebanon"/>
    <x v="1"/>
    <x v="0"/>
    <x v="14"/>
    <x v="14"/>
    <x v="2"/>
    <n v="96176702913"/>
    <s v="Fall  2023 - 2024"/>
    <n v="105"/>
    <n v="51"/>
    <n v="14"/>
    <n v="40"/>
    <n v="0.61904761904761907"/>
    <x v="0"/>
  </r>
  <r>
    <n v="62410007"/>
    <n v="207948"/>
    <s v="Maria"/>
    <s v="Walid"/>
    <s v="Rizk"/>
    <s v="Mount Lebanon"/>
    <x v="1"/>
    <x v="0"/>
    <x v="2"/>
    <x v="2"/>
    <x v="1"/>
    <n v="96176705158"/>
    <s v="Spring  2023 - 2024"/>
    <n v="99"/>
    <n v="55"/>
    <n v="16"/>
    <n v="28"/>
    <n v="0.71717171717171713"/>
    <x v="0"/>
  </r>
  <r>
    <n v="62530174"/>
    <n v="222950"/>
    <s v="Maria Vegonia"/>
    <s v="Kozhaya"/>
    <s v="Challita"/>
    <s v="Mount Lebanon"/>
    <x v="2"/>
    <x v="0"/>
    <x v="22"/>
    <x v="22"/>
    <x v="1"/>
    <n v="96176608465"/>
    <s v="Fall  2025 - 2026"/>
    <n v="99"/>
    <n v="6"/>
    <n v="12"/>
    <n v="81"/>
    <n v="0.18181818181818182"/>
    <x v="1"/>
  </r>
  <r>
    <n v="61930102"/>
    <n v="139850"/>
    <s v="Mariam"/>
    <s v="Elias"/>
    <s v="El Khoury"/>
    <s v="Mount Lebanon"/>
    <x v="2"/>
    <x v="0"/>
    <x v="6"/>
    <x v="6"/>
    <x v="1"/>
    <n v="96181807882"/>
    <s v="Fall  2019 - 2020"/>
    <n v="99"/>
    <n v="42"/>
    <n v="12"/>
    <n v="45"/>
    <n v="0.54545454545454541"/>
    <x v="0"/>
  </r>
  <r>
    <n v="62530110"/>
    <n v="220456"/>
    <s v="Mariam"/>
    <s v="Hassan"/>
    <s v="Hajj Houssein"/>
    <s v="Mount Lebanon"/>
    <x v="1"/>
    <x v="0"/>
    <x v="27"/>
    <x v="27"/>
    <x v="1"/>
    <n v="96178728521"/>
    <s v="Fall  2025 - 2026"/>
    <n v="108"/>
    <n v="3"/>
    <n v="13"/>
    <n v="100"/>
    <n v="0.14814814814814814"/>
    <x v="1"/>
  </r>
  <r>
    <n v="62430010"/>
    <n v="209478"/>
    <s v="Marie Jose"/>
    <s v="Samir"/>
    <s v="Felfoul"/>
    <s v="Mount Lebanon"/>
    <x v="1"/>
    <x v="0"/>
    <x v="8"/>
    <x v="8"/>
    <x v="2"/>
    <n v="70552875"/>
    <s v="Fall  2024 - 2025"/>
    <n v="99"/>
    <n v="27"/>
    <n v="14"/>
    <n v="58"/>
    <n v="0.41414141414141414"/>
    <x v="1"/>
  </r>
  <r>
    <n v="62130005"/>
    <n v="169392"/>
    <s v="Marie Jose"/>
    <s v="Khalil"/>
    <s v="Khalil"/>
    <s v="Mount Lebanon"/>
    <x v="1"/>
    <x v="0"/>
    <x v="50"/>
    <x v="50"/>
    <x v="2"/>
    <n v="76302220"/>
    <s v="Fall  2021 - 2022"/>
    <n v="99"/>
    <n v="97"/>
    <n v="4"/>
    <n v="0"/>
    <n v="1.0202020202020201"/>
    <x v="0"/>
  </r>
  <r>
    <n v="62430197"/>
    <n v="212201"/>
    <s v="Marie Therese"/>
    <s v="Remond"/>
    <s v="Abou Samra"/>
    <s v="Mount Lebanon"/>
    <x v="2"/>
    <x v="0"/>
    <x v="6"/>
    <x v="6"/>
    <x v="1"/>
    <n v="71841435"/>
    <s v="Fall  2024 - 2025"/>
    <n v="99"/>
    <n v="18"/>
    <n v="12"/>
    <n v="69"/>
    <n v="0.30303030303030304"/>
    <x v="1"/>
  </r>
  <r>
    <n v="62330165"/>
    <n v="201135"/>
    <s v="Mariebelle"/>
    <s v="Remon"/>
    <s v="Keyrouz"/>
    <s v="Mount Lebanon"/>
    <x v="2"/>
    <x v="0"/>
    <x v="3"/>
    <x v="3"/>
    <x v="1"/>
    <n v="79185967"/>
    <s v="Fall  2023 - 2024"/>
    <n v="99"/>
    <n v="60"/>
    <n v="12"/>
    <n v="27"/>
    <n v="0.72727272727272729"/>
    <x v="0"/>
  </r>
  <r>
    <n v="62310049"/>
    <n v="198025"/>
    <s v="Marielle"/>
    <s v="Sleiman"/>
    <s v="Chaaya"/>
    <s v="Mount Lebanon"/>
    <x v="2"/>
    <x v="0"/>
    <x v="7"/>
    <x v="7"/>
    <x v="1"/>
    <n v="70395826"/>
    <s v="Spring  2022 - 2023"/>
    <n v="99"/>
    <n v="87"/>
    <n v="12"/>
    <n v="0"/>
    <n v="1"/>
    <x v="0"/>
  </r>
  <r>
    <n v="62330187"/>
    <n v="201065"/>
    <s v="Marineh"/>
    <s v="Garbis"/>
    <s v="Pamboukian"/>
    <s v="Mount Lebanon"/>
    <x v="2"/>
    <x v="0"/>
    <x v="17"/>
    <x v="17"/>
    <x v="2"/>
    <n v="96170685572"/>
    <s v="Fall  2023 - 2024"/>
    <n v="99"/>
    <n v="66"/>
    <n v="18"/>
    <n v="15"/>
    <n v="0.84848484848484851"/>
    <x v="0"/>
  </r>
  <r>
    <n v="62610026"/>
    <n v="227398"/>
    <s v="Mario"/>
    <s v="Amin"/>
    <s v="Aswad"/>
    <s v="Mount Lebanon"/>
    <x v="1"/>
    <x v="0"/>
    <x v="12"/>
    <x v="12"/>
    <x v="1"/>
    <n v="96179162541"/>
    <s v="Spring  2025 - 2026"/>
    <n v="99"/>
    <n v="0"/>
    <n v="13"/>
    <n v="96"/>
    <n v="0.13131313131313133"/>
    <x v="1"/>
  </r>
  <r>
    <n v="62430233"/>
    <n v="214354"/>
    <s v="Mario"/>
    <s v="Charbel"/>
    <s v="Tohme"/>
    <s v="Mount Lebanon"/>
    <x v="2"/>
    <x v="0"/>
    <x v="32"/>
    <x v="32"/>
    <x v="1"/>
    <n v="96179176520"/>
    <s v="Fall  2024 - 2025"/>
    <n v="99"/>
    <n v="6"/>
    <n v="10"/>
    <n v="91"/>
    <n v="0.16161616161616163"/>
    <x v="1"/>
  </r>
  <r>
    <n v="62530118"/>
    <n v="221050"/>
    <s v="Maritta"/>
    <s v="Joseph"/>
    <s v="Saadeh"/>
    <s v="Mount Lebanon"/>
    <x v="1"/>
    <x v="0"/>
    <x v="12"/>
    <x v="12"/>
    <x v="1"/>
    <n v="96178838198"/>
    <s v="Fall  2025 - 2026"/>
    <n v="99"/>
    <n v="6"/>
    <n v="9"/>
    <n v="84"/>
    <n v="0.15151515151515152"/>
    <x v="1"/>
  </r>
  <r>
    <n v="62430081"/>
    <n v="213764"/>
    <s v="Mark"/>
    <s v="Tony"/>
    <s v="Kabalan"/>
    <s v="Mount Lebanon"/>
    <x v="3"/>
    <x v="0"/>
    <x v="20"/>
    <x v="20"/>
    <x v="2"/>
    <n v="76498250"/>
    <s v="Fall  2024 - 2025"/>
    <n v="65"/>
    <n v="53"/>
    <n v="12"/>
    <n v="0"/>
    <n v="1"/>
    <x v="0"/>
  </r>
  <r>
    <n v="62030243"/>
    <n v="157819"/>
    <s v="Mark"/>
    <s v="Pierre"/>
    <s v="Kordian"/>
    <s v="Mount Lebanon"/>
    <x v="2"/>
    <x v="0"/>
    <x v="32"/>
    <x v="32"/>
    <x v="1"/>
    <n v="71847611"/>
    <s v="Fall  2020 - 2021"/>
    <n v="99"/>
    <n v="57"/>
    <n v="9"/>
    <n v="33"/>
    <n v="0.66666666666666663"/>
    <x v="0"/>
  </r>
  <r>
    <n v="62530009"/>
    <n v="219383"/>
    <s v="Maroun"/>
    <s v="Geryes"/>
    <s v="Gebrayel"/>
    <s v="Mount Lebanon"/>
    <x v="0"/>
    <x v="0"/>
    <x v="1"/>
    <x v="1"/>
    <x v="0"/>
    <n v="79177897"/>
    <s v="Fall  2025 - 2026"/>
    <n v="108"/>
    <n v="28"/>
    <n v="18"/>
    <n v="62"/>
    <n v="0.42592592592592593"/>
    <x v="1"/>
  </r>
  <r>
    <n v="62130045"/>
    <n v="168601"/>
    <s v="Maroun"/>
    <s v="Elie"/>
    <s v="Saad"/>
    <s v="Mount Lebanon"/>
    <x v="1"/>
    <x v="0"/>
    <x v="14"/>
    <x v="14"/>
    <x v="2"/>
    <n v="3592739"/>
    <s v="Fall  2021 - 2022"/>
    <n v="105"/>
    <n v="87"/>
    <n v="12"/>
    <n v="6"/>
    <n v="0.94285714285714284"/>
    <x v="0"/>
  </r>
  <r>
    <n v="62530202"/>
    <n v="224558"/>
    <s v="Maroun"/>
    <s v="Toni"/>
    <s v="Tanios"/>
    <s v="Mount Lebanon"/>
    <x v="1"/>
    <x v="0"/>
    <x v="35"/>
    <x v="35"/>
    <x v="1"/>
    <n v="96178989435"/>
    <s v="Fall  2025 - 2026"/>
    <n v="99"/>
    <n v="6"/>
    <n v="13"/>
    <n v="89"/>
    <n v="0.19191919191919191"/>
    <x v="1"/>
  </r>
  <r>
    <n v="62530177"/>
    <n v="223921"/>
    <s v="Marwa"/>
    <s v="Abdel Latif"/>
    <s v="Ahmad Said"/>
    <s v="Mount Lebanon"/>
    <x v="1"/>
    <x v="0"/>
    <x v="4"/>
    <x v="4"/>
    <x v="2"/>
    <n v="71703270"/>
    <s v="Fall  2025 - 2026"/>
    <n v="105"/>
    <n v="6"/>
    <n v="14"/>
    <n v="92"/>
    <n v="0.19047619047619047"/>
    <x v="1"/>
  </r>
  <r>
    <n v="62310050"/>
    <n v="198114"/>
    <s v="Mary"/>
    <s v="Jean"/>
    <s v="Rabay"/>
    <s v="Mount Lebanon"/>
    <x v="2"/>
    <x v="0"/>
    <x v="3"/>
    <x v="3"/>
    <x v="1"/>
    <n v="71849271"/>
    <s v="Spring  2022 - 2023"/>
    <n v="99"/>
    <n v="54"/>
    <n v="15"/>
    <n v="30"/>
    <n v="0.69696969696969702"/>
    <x v="0"/>
  </r>
  <r>
    <n v="62330240"/>
    <n v="203652"/>
    <s v="Mary Antoinette"/>
    <s v="Chady"/>
    <s v="Ibrahim"/>
    <s v="Mount Lebanon"/>
    <x v="1"/>
    <x v="0"/>
    <x v="2"/>
    <x v="2"/>
    <x v="1"/>
    <n v="79128515"/>
    <s v="Fall  2023 - 2024"/>
    <n v="99"/>
    <n v="66"/>
    <n v="9"/>
    <n v="24"/>
    <n v="0.75757575757575757"/>
    <x v="0"/>
  </r>
  <r>
    <n v="62430105"/>
    <n v="210061"/>
    <s v="Marycibelle"/>
    <s v="Raffi"/>
    <s v="Colian"/>
    <s v="Mount Lebanon"/>
    <x v="1"/>
    <x v="0"/>
    <x v="8"/>
    <x v="8"/>
    <x v="2"/>
    <n v="96171927735"/>
    <s v="Fall  2024 - 2025"/>
    <n v="99"/>
    <n v="31"/>
    <n v="14"/>
    <n v="54"/>
    <n v="0.45454545454545453"/>
    <x v="1"/>
  </r>
  <r>
    <n v="62330072"/>
    <n v="199053"/>
    <s v="Marylin"/>
    <s v="Jean"/>
    <s v="Saliba"/>
    <s v="Mount Lebanon"/>
    <x v="2"/>
    <x v="0"/>
    <x v="3"/>
    <x v="3"/>
    <x v="1"/>
    <n v="81427612"/>
    <s v="Fall  2023 - 2024"/>
    <n v="99"/>
    <n v="48"/>
    <n v="15"/>
    <n v="36"/>
    <n v="0.63636363636363635"/>
    <x v="0"/>
  </r>
  <r>
    <n v="62230195"/>
    <n v="187251"/>
    <s v="Marylynn"/>
    <s v="Sahag"/>
    <s v="Ajabahian"/>
    <s v="Mount Lebanon"/>
    <x v="1"/>
    <x v="0"/>
    <x v="14"/>
    <x v="14"/>
    <x v="2"/>
    <n v="96170798961"/>
    <s v="Fall  2022 - 2023"/>
    <n v="105"/>
    <n v="87"/>
    <n v="18"/>
    <n v="0"/>
    <n v="1"/>
    <x v="0"/>
  </r>
  <r>
    <n v="62530140"/>
    <n v="222155"/>
    <s v="Mayda"/>
    <s v="Minas"/>
    <s v="Kassounian"/>
    <s v="Mount Lebanon"/>
    <x v="2"/>
    <x v="0"/>
    <x v="9"/>
    <x v="9"/>
    <x v="1"/>
    <n v="96181058424"/>
    <s v="Fall  2025 - 2026"/>
    <n v="99"/>
    <n v="0"/>
    <n v="13"/>
    <n v="90"/>
    <n v="0.13131313131313133"/>
    <x v="1"/>
  </r>
  <r>
    <n v="62530158"/>
    <n v="222923"/>
    <s v="Mayelle"/>
    <s v="Michel"/>
    <s v="El Khoury Hanna"/>
    <s v="Mount Lebanon"/>
    <x v="2"/>
    <x v="0"/>
    <x v="51"/>
    <x v="51"/>
    <x v="1"/>
    <n v="71982542"/>
    <s v="Fall  2025 - 2026"/>
    <n v="99"/>
    <n v="6"/>
    <n v="15"/>
    <n v="78"/>
    <n v="0.21212121212121213"/>
    <x v="1"/>
  </r>
  <r>
    <n v="62430028"/>
    <n v="209301"/>
    <s v="Meghety"/>
    <s v="Garo"/>
    <s v="Manoukian"/>
    <s v="Mount Lebanon"/>
    <x v="1"/>
    <x v="0"/>
    <x v="2"/>
    <x v="2"/>
    <x v="1"/>
    <n v="96176844213"/>
    <s v="Fall  2024 - 2025"/>
    <n v="99"/>
    <n v="49"/>
    <n v="16"/>
    <n v="34"/>
    <n v="0.65656565656565657"/>
    <x v="0"/>
  </r>
  <r>
    <n v="62530138"/>
    <n v="222249"/>
    <s v="Meghry"/>
    <s v="Hagop"/>
    <s v="Gulumian"/>
    <s v="Mount Lebanon"/>
    <x v="2"/>
    <x v="0"/>
    <x v="11"/>
    <x v="11"/>
    <x v="1"/>
    <n v="96171924391"/>
    <s v="Fall  2025 - 2026"/>
    <n v="99"/>
    <n v="12"/>
    <n v="12"/>
    <n v="75"/>
    <n v="0.24242424242424243"/>
    <x v="1"/>
  </r>
  <r>
    <n v="62430113"/>
    <n v="211334"/>
    <s v="Meghry"/>
    <s v="Antranik"/>
    <s v="Tarpinian"/>
    <s v="Mount Lebanon"/>
    <x v="4"/>
    <x v="0"/>
    <x v="37"/>
    <x v="37"/>
    <x v="1"/>
    <n v="71710244"/>
    <s v="Fall  2024 - 2025"/>
    <n v="99"/>
    <n v="24"/>
    <n v="15"/>
    <n v="60"/>
    <n v="0.39393939393939392"/>
    <x v="1"/>
  </r>
  <r>
    <n v="62610021"/>
    <n v="227522"/>
    <s v="Mehieddine"/>
    <s v="Ali"/>
    <s v="Nakhlaoui"/>
    <s v="Mount Lebanon"/>
    <x v="2"/>
    <x v="0"/>
    <x v="11"/>
    <x v="11"/>
    <x v="1"/>
    <n v="96176547736"/>
    <s v="Spring  2025 - 2026"/>
    <n v="99"/>
    <n v="12"/>
    <n v="12"/>
    <n v="75"/>
    <n v="0.24242424242424243"/>
    <x v="1"/>
  </r>
  <r>
    <n v="62610003"/>
    <n v="227137"/>
    <s v="Melissa"/>
    <s v="Victor"/>
    <s v="Fayad"/>
    <s v="Mount Lebanon"/>
    <x v="1"/>
    <x v="0"/>
    <x v="12"/>
    <x v="12"/>
    <x v="1"/>
    <n v="81482990"/>
    <s v="Spring  2025 - 2026"/>
    <n v="99"/>
    <n v="0"/>
    <n v="13"/>
    <n v="94"/>
    <n v="0.13131313131313133"/>
    <x v="1"/>
  </r>
  <r>
    <n v="62330136"/>
    <n v="202646"/>
    <s v="Melissa"/>
    <s v="Karim"/>
    <s v="Mouawad"/>
    <s v="Mount Lebanon"/>
    <x v="1"/>
    <x v="0"/>
    <x v="2"/>
    <x v="2"/>
    <x v="1"/>
    <n v="96176927076"/>
    <s v="Fall  2023 - 2024"/>
    <n v="99"/>
    <n v="52"/>
    <n v="13"/>
    <n v="34"/>
    <n v="0.65656565656565657"/>
    <x v="0"/>
  </r>
  <r>
    <n v="62430104"/>
    <n v="210033"/>
    <s v="Melissa"/>
    <s v="Roukoz"/>
    <s v="Nakad"/>
    <s v="Mount Lebanon"/>
    <x v="1"/>
    <x v="0"/>
    <x v="2"/>
    <x v="2"/>
    <x v="1"/>
    <n v="96170625057"/>
    <s v="Fall  2024 - 2025"/>
    <n v="99"/>
    <n v="21"/>
    <n v="15"/>
    <n v="63"/>
    <n v="0.36363636363636365"/>
    <x v="1"/>
  </r>
  <r>
    <n v="62310014"/>
    <n v="197171"/>
    <s v="Mhamad"/>
    <s v="Ali"/>
    <s v="Chahoud"/>
    <s v="Mount Lebanon"/>
    <x v="1"/>
    <x v="0"/>
    <x v="5"/>
    <x v="5"/>
    <x v="1"/>
    <n v="96170257380"/>
    <s v="Spring  2022 - 2023"/>
    <n v="100"/>
    <n v="85"/>
    <n v="15"/>
    <n v="0"/>
    <n v="1"/>
    <x v="0"/>
  </r>
  <r>
    <n v="62430195"/>
    <n v="212168"/>
    <s v="Mia"/>
    <s v="Bassam"/>
    <s v="El Haber"/>
    <s v="Mount Lebanon"/>
    <x v="2"/>
    <x v="0"/>
    <x v="3"/>
    <x v="3"/>
    <x v="1"/>
    <n v="81337586"/>
    <s v="Fall  2024 - 2025"/>
    <n v="99"/>
    <n v="12"/>
    <n v="12"/>
    <n v="75"/>
    <n v="0.24242424242424243"/>
    <x v="1"/>
  </r>
  <r>
    <n v="62530064"/>
    <n v="219794"/>
    <s v="Mia Rita"/>
    <s v="Francois"/>
    <s v="Khattar"/>
    <s v="Mount Lebanon"/>
    <x v="1"/>
    <x v="0"/>
    <x v="26"/>
    <x v="26"/>
    <x v="1"/>
    <n v="96171196954"/>
    <s v="Fall  2025 - 2026"/>
    <n v="99"/>
    <n v="3"/>
    <n v="10"/>
    <n v="90"/>
    <n v="0.13131313131313133"/>
    <x v="1"/>
  </r>
  <r>
    <n v="62610006"/>
    <n v="227139"/>
    <s v="Michael"/>
    <s v="Youssef"/>
    <s v="Mhanna"/>
    <s v="Mount Lebanon"/>
    <x v="0"/>
    <x v="0"/>
    <x v="29"/>
    <x v="29"/>
    <x v="0"/>
    <n v="81407574"/>
    <s v="Spring  2025 - 2026"/>
    <n v="108"/>
    <n v="6"/>
    <n v="18"/>
    <n v="87"/>
    <n v="0.22222222222222221"/>
    <x v="1"/>
  </r>
  <r>
    <n v="62330036"/>
    <n v="198745"/>
    <s v="Michel"/>
    <s v="Michel"/>
    <s v="Al Khoury Hanna"/>
    <s v="Mount Lebanon"/>
    <x v="2"/>
    <x v="0"/>
    <x v="17"/>
    <x v="17"/>
    <x v="2"/>
    <n v="76320851"/>
    <s v="Fall  2023 - 2024"/>
    <n v="99"/>
    <n v="69"/>
    <n v="15"/>
    <n v="15"/>
    <n v="0.84848484848484851"/>
    <x v="0"/>
  </r>
  <r>
    <n v="62330310"/>
    <n v="205824"/>
    <s v="Michel"/>
    <s v="Daniel"/>
    <s v="Habib"/>
    <s v="Mount Lebanon"/>
    <x v="1"/>
    <x v="0"/>
    <x v="24"/>
    <x v="24"/>
    <x v="1"/>
    <n v="71661405"/>
    <s v="Fall  2023 - 2024"/>
    <n v="108"/>
    <n v="75"/>
    <n v="15"/>
    <n v="18"/>
    <n v="0.83333333333333337"/>
    <x v="0"/>
  </r>
  <r>
    <n v="62110057"/>
    <n v="164379"/>
    <s v="Michel"/>
    <s v="Elias"/>
    <s v="Haddad"/>
    <s v="Mount Lebanon"/>
    <x v="2"/>
    <x v="0"/>
    <x v="3"/>
    <x v="3"/>
    <x v="1"/>
    <n v="81416113"/>
    <s v="Spring  2020 - 2021"/>
    <n v="99"/>
    <n v="84"/>
    <n v="15"/>
    <n v="0"/>
    <n v="1"/>
    <x v="0"/>
  </r>
  <r>
    <n v="62530198"/>
    <n v="223917"/>
    <s v="Michel"/>
    <s v="Raymond"/>
    <s v="Ibrahim"/>
    <s v="Mount Lebanon"/>
    <x v="2"/>
    <x v="0"/>
    <x v="33"/>
    <x v="33"/>
    <x v="1"/>
    <n v="96170764491"/>
    <s v="Fall  2025 - 2026"/>
    <n v="99"/>
    <n v="15"/>
    <n v="9"/>
    <n v="75"/>
    <n v="0.24242424242424243"/>
    <x v="1"/>
  </r>
  <r>
    <n v="62530015"/>
    <n v="219052"/>
    <s v="Michel"/>
    <s v="Antoine"/>
    <s v="Mhanna"/>
    <s v="Mount Lebanon"/>
    <x v="0"/>
    <x v="0"/>
    <x v="1"/>
    <x v="1"/>
    <x v="0"/>
    <n v="71023723"/>
    <s v="Fall  2025 - 2026"/>
    <n v="108"/>
    <n v="3"/>
    <n v="15"/>
    <n v="90"/>
    <n v="0.16666666666666666"/>
    <x v="1"/>
  </r>
  <r>
    <n v="62330121"/>
    <n v="199844"/>
    <s v="Michelle"/>
    <s v="Michel"/>
    <s v="Bou Rached"/>
    <s v="Mount Lebanon"/>
    <x v="2"/>
    <x v="0"/>
    <x v="3"/>
    <x v="3"/>
    <x v="1"/>
    <n v="71736830"/>
    <s v="Fall  2023 - 2024"/>
    <n v="99"/>
    <n v="45"/>
    <n v="18"/>
    <n v="36"/>
    <n v="0.63636363636363635"/>
    <x v="0"/>
  </r>
  <r>
    <n v="62230221"/>
    <n v="189181"/>
    <s v="Mira"/>
    <s v="Paul"/>
    <s v="Maalouf"/>
    <s v="Mount Lebanon"/>
    <x v="1"/>
    <x v="0"/>
    <x v="14"/>
    <x v="14"/>
    <x v="2"/>
    <n v="76551353"/>
    <s v="Fall  2022 - 2023"/>
    <n v="105"/>
    <n v="96"/>
    <n v="9"/>
    <n v="0"/>
    <n v="1"/>
    <x v="0"/>
  </r>
  <r>
    <n v="62330182"/>
    <n v="201175"/>
    <s v="Mireille"/>
    <s v="Ibrahim"/>
    <s v="Jemmo"/>
    <s v="Mount Lebanon"/>
    <x v="1"/>
    <x v="0"/>
    <x v="14"/>
    <x v="14"/>
    <x v="2"/>
    <n v="70254832"/>
    <s v="Fall  2023 - 2024"/>
    <n v="105"/>
    <n v="65"/>
    <n v="12"/>
    <n v="28"/>
    <n v="0.73333333333333328"/>
    <x v="0"/>
  </r>
  <r>
    <n v="62230205"/>
    <n v="188155"/>
    <s v="Mirella"/>
    <s v="Moufid"/>
    <s v="Abdel Sater"/>
    <s v="Mount Lebanon"/>
    <x v="1"/>
    <x v="0"/>
    <x v="8"/>
    <x v="8"/>
    <x v="2"/>
    <n v="96181895656"/>
    <s v="Fall  2022 - 2023"/>
    <n v="99"/>
    <n v="86"/>
    <n v="13"/>
    <n v="0"/>
    <n v="1"/>
    <x v="0"/>
  </r>
  <r>
    <n v="61830211"/>
    <n v="131028"/>
    <s v="Mirella Ursula"/>
    <s v="Joseph"/>
    <s v="Onikian"/>
    <s v="Mount Lebanon"/>
    <x v="1"/>
    <x v="0"/>
    <x v="8"/>
    <x v="8"/>
    <x v="2"/>
    <n v="79153459"/>
    <s v="Fall  2018 - 2019"/>
    <n v="99"/>
    <n v="80"/>
    <n v="9"/>
    <n v="10"/>
    <n v="0.89898989898989901"/>
    <x v="0"/>
  </r>
  <r>
    <n v="62330331"/>
    <n v="206230"/>
    <s v="Miriam"/>
    <s v="Youssef"/>
    <s v="Chamas"/>
    <s v="Mount Lebanon"/>
    <x v="1"/>
    <x v="0"/>
    <x v="15"/>
    <x v="15"/>
    <x v="1"/>
    <n v="76577585"/>
    <s v="Fall  2023 - 2024"/>
    <n v="99"/>
    <n v="9"/>
    <n v="12"/>
    <n v="78"/>
    <n v="0.21212121212121213"/>
    <x v="1"/>
  </r>
  <r>
    <n v="62430144"/>
    <n v="220451"/>
    <s v="Miriam"/>
    <s v="Krikor"/>
    <s v="Khacheryan"/>
    <s v="Mount Lebanon"/>
    <x v="2"/>
    <x v="0"/>
    <x v="22"/>
    <x v="22"/>
    <x v="1"/>
    <n v="96176334963"/>
    <s v="Fall  2025 - 2026"/>
    <n v="99"/>
    <n v="0"/>
    <n v="9"/>
    <n v="9"/>
    <n v="9.0909090909090912E-2"/>
    <x v="1"/>
  </r>
  <r>
    <n v="62530235"/>
    <n v="224938"/>
    <s v="Mohamad"/>
    <s v="Wajih"/>
    <s v="Al Selo"/>
    <s v="Mount Lebanon"/>
    <x v="1"/>
    <x v="0"/>
    <x v="12"/>
    <x v="12"/>
    <x v="1"/>
    <n v="71980654"/>
    <s v="Fall  2025 - 2026"/>
    <n v="99"/>
    <n v="15"/>
    <n v="13"/>
    <n v="79"/>
    <n v="0.28282828282828282"/>
    <x v="1"/>
  </r>
  <r>
    <n v="62510040"/>
    <n v="217947"/>
    <s v="Mohamad"/>
    <s v="Youssef"/>
    <s v="Alheraki"/>
    <s v="Mount Lebanon"/>
    <x v="2"/>
    <x v="0"/>
    <x v="9"/>
    <x v="9"/>
    <x v="1"/>
    <n v="76431355"/>
    <s v="Spring  2024 - 2025"/>
    <n v="99"/>
    <n v="21"/>
    <n v="12"/>
    <n v="66"/>
    <n v="0.33333333333333331"/>
    <x v="1"/>
  </r>
  <r>
    <n v="62530221"/>
    <n v="224893"/>
    <s v="Mohamad"/>
    <s v="Hasan"/>
    <s v="Daaboul"/>
    <s v="Mount Lebanon"/>
    <x v="1"/>
    <x v="0"/>
    <x v="12"/>
    <x v="12"/>
    <x v="1"/>
    <n v="70313371"/>
    <s v="Fall  2025 - 2026"/>
    <n v="99"/>
    <n v="24"/>
    <n v="15"/>
    <n v="60"/>
    <n v="0.39393939393939392"/>
    <x v="1"/>
  </r>
  <r>
    <n v="62230262"/>
    <n v="189188"/>
    <s v="Mohamad"/>
    <s v="Khaled"/>
    <s v="Korhani"/>
    <s v="Mount Lebanon"/>
    <x v="0"/>
    <x v="0"/>
    <x v="1"/>
    <x v="1"/>
    <x v="0"/>
    <n v="70295104"/>
    <s v="Fall  2022 - 2023"/>
    <n v="108"/>
    <n v="55"/>
    <n v="12"/>
    <n v="41"/>
    <n v="0.62037037037037035"/>
    <x v="0"/>
  </r>
  <r>
    <n v="62310052"/>
    <n v="208861"/>
    <s v="Mohamad Noah"/>
    <s v="Fady"/>
    <s v="Chmayssani"/>
    <s v="Mount Lebanon"/>
    <x v="1"/>
    <x v="0"/>
    <x v="2"/>
    <x v="2"/>
    <x v="1"/>
    <n v="71965921"/>
    <s v="Spring  2023 - 2024"/>
    <n v="99"/>
    <n v="52"/>
    <n v="13"/>
    <n v="0"/>
    <n v="0.65656565656565657"/>
    <x v="0"/>
  </r>
  <r>
    <n v="62030278"/>
    <n v="158324"/>
    <s v="Mohammad"/>
    <s v="Nadim"/>
    <s v="Fakherdine"/>
    <s v="Mount Lebanon"/>
    <x v="0"/>
    <x v="0"/>
    <x v="1"/>
    <x v="1"/>
    <x v="0"/>
    <n v="76163408"/>
    <s v="Fall  2020 - 2021"/>
    <n v="108"/>
    <n v="79"/>
    <n v="5"/>
    <n v="24"/>
    <n v="0.77777777777777779"/>
    <x v="0"/>
  </r>
  <r>
    <n v="62430117"/>
    <n v="211489"/>
    <s v="Mohammad"/>
    <s v="Samir"/>
    <s v="Hallal"/>
    <s v="Mount Lebanon"/>
    <x v="1"/>
    <x v="0"/>
    <x v="5"/>
    <x v="5"/>
    <x v="1"/>
    <n v="96171304296"/>
    <s v="Fall  2024 - 2025"/>
    <n v="100"/>
    <n v="38"/>
    <n v="15"/>
    <n v="47"/>
    <n v="0.53"/>
    <x v="0"/>
  </r>
  <r>
    <n v="62530263"/>
    <n v="226026"/>
    <s v="Mohammad"/>
    <s v="Saleh"/>
    <s v="Jaber"/>
    <s v="Mount Lebanon"/>
    <x v="2"/>
    <x v="0"/>
    <x v="22"/>
    <x v="22"/>
    <x v="1"/>
    <n v="3157857"/>
    <s v="Fall  2025 - 2026"/>
    <n v="99"/>
    <n v="9"/>
    <n v="13"/>
    <n v="81"/>
    <n v="0.22222222222222221"/>
    <x v="1"/>
  </r>
  <r>
    <n v="62230142"/>
    <n v="186427"/>
    <s v="Mohammad Bachir"/>
    <s v="Maarouf"/>
    <s v="Aawwad"/>
    <s v="Mount Lebanon"/>
    <x v="1"/>
    <x v="0"/>
    <x v="5"/>
    <x v="5"/>
    <x v="1"/>
    <n v="96171457713"/>
    <s v="Fall  2022 - 2023"/>
    <n v="100"/>
    <n v="34"/>
    <n v="11"/>
    <n v="59"/>
    <n v="0.45"/>
    <x v="1"/>
  </r>
  <r>
    <n v="62130253"/>
    <n v="171256"/>
    <s v="Mohammad Walid"/>
    <s v="Amin"/>
    <s v="Khaled"/>
    <s v="Mount Lebanon"/>
    <x v="1"/>
    <x v="0"/>
    <x v="5"/>
    <x v="5"/>
    <x v="1"/>
    <n v="96181856414"/>
    <s v="Fall  2021 - 2022"/>
    <n v="100"/>
    <n v="60"/>
    <n v="9"/>
    <n v="31"/>
    <n v="0.69"/>
    <x v="0"/>
  </r>
  <r>
    <n v="62330300"/>
    <n v="206568"/>
    <s v="Molia"/>
    <s v="Hassan"/>
    <s v="Wraydane"/>
    <s v="Mount Lebanon"/>
    <x v="1"/>
    <x v="0"/>
    <x v="15"/>
    <x v="15"/>
    <x v="1"/>
    <n v="3589991"/>
    <s v="Fall  2023 - 2024"/>
    <n v="99"/>
    <n v="84"/>
    <n v="15"/>
    <n v="0"/>
    <n v="1"/>
    <x v="0"/>
  </r>
  <r>
    <n v="62330149"/>
    <n v="200556"/>
    <s v="Mossig"/>
    <s v="Haroutioun"/>
    <s v="Dordolian"/>
    <s v="Mount Lebanon"/>
    <x v="1"/>
    <x v="0"/>
    <x v="52"/>
    <x v="52"/>
    <x v="2"/>
    <n v="71062900"/>
    <s v="Fall  2023 - 2024"/>
    <n v="99"/>
    <n v="24"/>
    <n v="10"/>
    <n v="68"/>
    <n v="0.34343434343434343"/>
    <x v="1"/>
  </r>
  <r>
    <n v="62510003"/>
    <n v="217788"/>
    <s v="Mossig"/>
    <s v="Morel"/>
    <s v="Kelendjian"/>
    <s v="Mount Lebanon"/>
    <x v="2"/>
    <x v="0"/>
    <x v="33"/>
    <x v="33"/>
    <x v="1"/>
    <n v="96171825477"/>
    <s v="Spring  2024 - 2025"/>
    <n v="99"/>
    <n v="6"/>
    <n v="15"/>
    <n v="78"/>
    <n v="0.21212121212121213"/>
    <x v="1"/>
  </r>
  <r>
    <n v="62230226"/>
    <n v="189162"/>
    <s v="Mouhamad"/>
    <s v="Rabih"/>
    <s v="Elsahmarani"/>
    <s v="Mount Lebanon"/>
    <x v="1"/>
    <x v="0"/>
    <x v="14"/>
    <x v="14"/>
    <x v="2"/>
    <n v="96176769653"/>
    <s v="Fall  2022 - 2023"/>
    <n v="105"/>
    <n v="61"/>
    <n v="13"/>
    <n v="31"/>
    <n v="0.70476190476190481"/>
    <x v="0"/>
  </r>
  <r>
    <n v="62530274"/>
    <n v="226550"/>
    <s v="Mouhannad"/>
    <s v="Mohamad"/>
    <s v="Hamcho"/>
    <s v="Mount Lebanon"/>
    <x v="0"/>
    <x v="0"/>
    <x v="1"/>
    <x v="1"/>
    <x v="0"/>
    <n v="70367346"/>
    <s v="Fall  2025 - 2026"/>
    <n v="108"/>
    <n v="3"/>
    <n v="10"/>
    <n v="103"/>
    <n v="0.12037037037037036"/>
    <x v="1"/>
  </r>
  <r>
    <n v="62110029"/>
    <n v="164275"/>
    <s v="Mustafa"/>
    <s v="Khaled"/>
    <s v="Al Mahamid"/>
    <s v="Mount Lebanon"/>
    <x v="0"/>
    <x v="0"/>
    <x v="1"/>
    <x v="1"/>
    <x v="0"/>
    <n v="71059960"/>
    <s v="Spring  2020 - 2021"/>
    <n v="108"/>
    <n v="75"/>
    <n v="12"/>
    <n v="21"/>
    <n v="0.80555555555555558"/>
    <x v="0"/>
  </r>
  <r>
    <n v="62030365"/>
    <n v="160003"/>
    <s v="Nada"/>
    <s v="Mohammad"/>
    <s v="Osman"/>
    <s v="Mount Lebanon"/>
    <x v="2"/>
    <x v="0"/>
    <x v="17"/>
    <x v="17"/>
    <x v="2"/>
    <n v="96170664543"/>
    <s v="Fall  2020 - 2021"/>
    <n v="99"/>
    <n v="81"/>
    <n v="9"/>
    <n v="9"/>
    <n v="0.90909090909090906"/>
    <x v="0"/>
  </r>
  <r>
    <n v="62430140"/>
    <n v="210662"/>
    <s v="Nadine"/>
    <s v="Kamal"/>
    <s v="Hallani"/>
    <s v="Mount Lebanon"/>
    <x v="0"/>
    <x v="0"/>
    <x v="1"/>
    <x v="1"/>
    <x v="0"/>
    <n v="96181765153"/>
    <s v="Fall  2024 - 2025"/>
    <n v="108"/>
    <n v="18"/>
    <n v="12"/>
    <n v="78"/>
    <n v="0.27777777777777779"/>
    <x v="1"/>
  </r>
  <r>
    <n v="62510055"/>
    <n v="218457"/>
    <s v="Naiim"/>
    <s v="Maroun"/>
    <s v="Bou Rached"/>
    <s v="Mount Lebanon"/>
    <x v="0"/>
    <x v="0"/>
    <x v="16"/>
    <x v="16"/>
    <x v="0"/>
    <n v="70551447"/>
    <s v="Spring  2024 - 2025"/>
    <n v="108"/>
    <n v="9"/>
    <n v="14"/>
    <n v="89"/>
    <n v="0.21296296296296297"/>
    <x v="1"/>
  </r>
  <r>
    <n v="62230315"/>
    <n v="191714"/>
    <s v="Nancy"/>
    <s v="Jihad"/>
    <s v="Harik"/>
    <s v="Mount Lebanon"/>
    <x v="1"/>
    <x v="0"/>
    <x v="34"/>
    <x v="34"/>
    <x v="1"/>
    <n v="96170761859"/>
    <s v="Fall  2022 - 2023"/>
    <n v="108"/>
    <n v="93"/>
    <n v="15"/>
    <n v="0"/>
    <n v="1"/>
    <x v="0"/>
  </r>
  <r>
    <n v="62530236"/>
    <n v="225369"/>
    <s v="Nancy"/>
    <s v="Fadil"/>
    <s v="Medlej"/>
    <s v="Mount Lebanon"/>
    <x v="1"/>
    <x v="0"/>
    <x v="12"/>
    <x v="12"/>
    <x v="1"/>
    <n v="76144781"/>
    <s v="Fall  2025 - 2026"/>
    <n v="99"/>
    <n v="18"/>
    <n v="16"/>
    <n v="69"/>
    <n v="0.34343434343434343"/>
    <x v="1"/>
  </r>
  <r>
    <n v="62230115"/>
    <n v="186422"/>
    <s v="Nancy"/>
    <s v="Yasser"/>
    <s v="Skaff"/>
    <s v="Mount Lebanon"/>
    <x v="1"/>
    <x v="0"/>
    <x v="34"/>
    <x v="34"/>
    <x v="1"/>
    <n v="96181904486"/>
    <s v="Fall  2022 - 2023"/>
    <n v="108"/>
    <n v="78"/>
    <n v="18"/>
    <n v="12"/>
    <n v="0.88888888888888884"/>
    <x v="0"/>
  </r>
  <r>
    <n v="62310036"/>
    <n v="197462"/>
    <s v="Nanor"/>
    <s v="Sarkis"/>
    <s v="Kojayan"/>
    <s v="Mount Lebanon"/>
    <x v="1"/>
    <x v="0"/>
    <x v="2"/>
    <x v="2"/>
    <x v="1"/>
    <n v="76565743"/>
    <s v="Spring  2022 - 2023"/>
    <n v="99"/>
    <n v="75"/>
    <n v="9"/>
    <n v="15"/>
    <n v="0.84848484848484851"/>
    <x v="0"/>
  </r>
  <r>
    <n v="62330306"/>
    <n v="205249"/>
    <s v="Nanor"/>
    <s v="Vatche"/>
    <s v="Otouzbrian Dit Avedissian"/>
    <s v="Mount Lebanon"/>
    <x v="2"/>
    <x v="0"/>
    <x v="6"/>
    <x v="6"/>
    <x v="1"/>
    <n v="81507076"/>
    <s v="Fall  2023 - 2024"/>
    <n v="99"/>
    <n v="45"/>
    <n v="18"/>
    <n v="36"/>
    <n v="0.63636363636363635"/>
    <x v="0"/>
  </r>
  <r>
    <n v="62530026"/>
    <n v="219156"/>
    <s v="Nareg"/>
    <s v="Krikor"/>
    <s v="Antablian"/>
    <s v="Mount Lebanon"/>
    <x v="2"/>
    <x v="0"/>
    <x v="42"/>
    <x v="42"/>
    <x v="1"/>
    <n v="96181081460"/>
    <s v="Fall  2025 - 2026"/>
    <n v="99"/>
    <n v="0"/>
    <n v="12"/>
    <n v="87"/>
    <n v="0.12121212121212122"/>
    <x v="1"/>
  </r>
  <r>
    <n v="61930052"/>
    <n v="139042"/>
    <s v="Nareg"/>
    <s v="Maneul"/>
    <s v="Kazanjian"/>
    <s v="Mount Lebanon"/>
    <x v="1"/>
    <x v="0"/>
    <x v="5"/>
    <x v="5"/>
    <x v="1"/>
    <n v="96170993173"/>
    <s v="Fall  2019 - 2020"/>
    <n v="100"/>
    <n v="73"/>
    <n v="12"/>
    <n v="15"/>
    <n v="0.85"/>
    <x v="0"/>
  </r>
  <r>
    <n v="62530132"/>
    <n v="222994"/>
    <s v="Nareg"/>
    <s v="Sebouh"/>
    <s v="Markarian"/>
    <s v="Mount Lebanon"/>
    <x v="0"/>
    <x v="0"/>
    <x v="18"/>
    <x v="18"/>
    <x v="0"/>
    <n v="76186354"/>
    <s v="Fall  2025 - 2026"/>
    <n v="108"/>
    <n v="12"/>
    <n v="14"/>
    <n v="82"/>
    <n v="0.24074074074074073"/>
    <x v="1"/>
  </r>
  <r>
    <n v="62330307"/>
    <n v="205807"/>
    <s v="Natasha"/>
    <s v="Elie"/>
    <s v="Geagea"/>
    <s v="Mount Lebanon"/>
    <x v="2"/>
    <x v="0"/>
    <x v="3"/>
    <x v="3"/>
    <x v="1"/>
    <n v="96171193115"/>
    <s v="Fall  2023 - 2024"/>
    <n v="99"/>
    <n v="3"/>
    <n v="10"/>
    <n v="93"/>
    <n v="0.13131313131313133"/>
    <x v="1"/>
  </r>
  <r>
    <n v="62230354"/>
    <n v="192404"/>
    <s v="Nathany"/>
    <s v="Antoine"/>
    <s v="Bou Chaaya"/>
    <s v="Mount Lebanon"/>
    <x v="1"/>
    <x v="0"/>
    <x v="2"/>
    <x v="2"/>
    <x v="1"/>
    <n v="81319136"/>
    <s v="Fall  2022 - 2023"/>
    <n v="99"/>
    <n v="58"/>
    <n v="10"/>
    <n v="31"/>
    <n v="0.68686868686868685"/>
    <x v="0"/>
  </r>
  <r>
    <n v="62410054"/>
    <n v="208983"/>
    <s v="Nawal"/>
    <s v="Charbel"/>
    <s v="Al Kassouf"/>
    <s v="Mount Lebanon"/>
    <x v="1"/>
    <x v="0"/>
    <x v="24"/>
    <x v="24"/>
    <x v="1"/>
    <n v="76111954"/>
    <s v="Spring  2023 - 2024"/>
    <n v="108"/>
    <n v="96"/>
    <n v="12"/>
    <n v="0"/>
    <n v="1"/>
    <x v="0"/>
  </r>
  <r>
    <n v="62330042"/>
    <n v="198769"/>
    <s v="Nay"/>
    <s v="Tony"/>
    <s v="El Kesserwany"/>
    <s v="Mount Lebanon"/>
    <x v="1"/>
    <x v="0"/>
    <x v="5"/>
    <x v="5"/>
    <x v="1"/>
    <n v="96170806868"/>
    <s v="Fall  2023 - 2024"/>
    <n v="100"/>
    <n v="87"/>
    <n v="13"/>
    <n v="0"/>
    <n v="1"/>
    <x v="0"/>
  </r>
  <r>
    <n v="62430257"/>
    <n v="216060"/>
    <s v="Nayef"/>
    <s v="Habib"/>
    <s v="Haydar"/>
    <s v="Mount Lebanon"/>
    <x v="0"/>
    <x v="0"/>
    <x v="1"/>
    <x v="1"/>
    <x v="0"/>
    <n v="9613831784"/>
    <s v="Fall  2024 - 2025"/>
    <n v="108"/>
    <n v="24"/>
    <n v="16"/>
    <n v="77"/>
    <n v="0.37037037037037035"/>
    <x v="1"/>
  </r>
  <r>
    <n v="62330200"/>
    <n v="202654"/>
    <s v="Nerson"/>
    <s v="Raffi"/>
    <s v="Abrilian"/>
    <s v="Mount Lebanon"/>
    <x v="1"/>
    <x v="0"/>
    <x v="38"/>
    <x v="38"/>
    <x v="1"/>
    <n v="96181847562"/>
    <s v="Fall  2023 - 2024"/>
    <n v="108"/>
    <n v="66"/>
    <n v="12"/>
    <n v="30"/>
    <n v="0.72222222222222221"/>
    <x v="0"/>
  </r>
  <r>
    <n v="62430152"/>
    <n v="211490"/>
    <s v="Newart"/>
    <s v="Manuel"/>
    <s v="Izmirlian"/>
    <s v="Mount Lebanon"/>
    <x v="1"/>
    <x v="0"/>
    <x v="2"/>
    <x v="2"/>
    <x v="1"/>
    <n v="79191749"/>
    <s v="Fall  2024 - 2025"/>
    <n v="99"/>
    <n v="36"/>
    <n v="15"/>
    <n v="48"/>
    <n v="0.51515151515151514"/>
    <x v="0"/>
  </r>
  <r>
    <n v="62510035"/>
    <n v="217964"/>
    <s v="Nijad"/>
    <s v="Mouhamad"/>
    <s v="Haydar Ahmad"/>
    <s v="Mount Lebanon"/>
    <x v="0"/>
    <x v="0"/>
    <x v="1"/>
    <x v="1"/>
    <x v="0"/>
    <n v="70306660"/>
    <s v="Spring  2024 - 2025"/>
    <n v="108"/>
    <n v="12"/>
    <n v="13"/>
    <n v="83"/>
    <n v="0.23148148148148148"/>
    <x v="1"/>
  </r>
  <r>
    <n v="62330169"/>
    <n v="200562"/>
    <s v="Nina"/>
    <s v="Georges"/>
    <s v="Ghobrine"/>
    <s v="Mount Lebanon"/>
    <x v="1"/>
    <x v="0"/>
    <x v="8"/>
    <x v="8"/>
    <x v="2"/>
    <n v="96171592005"/>
    <s v="Fall  2023 - 2024"/>
    <n v="99"/>
    <n v="48"/>
    <n v="13"/>
    <n v="38"/>
    <n v="0.61616161616161613"/>
    <x v="0"/>
  </r>
  <r>
    <n v="62430003"/>
    <n v="210647"/>
    <s v="Nour"/>
    <s v="Pierre"/>
    <s v="Abdel Ahad"/>
    <s v="Mount Lebanon"/>
    <x v="1"/>
    <x v="0"/>
    <x v="27"/>
    <x v="27"/>
    <x v="1"/>
    <n v="96170314612"/>
    <s v="Fall  2024 - 2025"/>
    <n v="108"/>
    <n v="15"/>
    <n v="9"/>
    <n v="84"/>
    <n v="0.22222222222222221"/>
    <x v="1"/>
  </r>
  <r>
    <n v="62510015"/>
    <n v="217804"/>
    <s v="Nour"/>
    <s v="Roger"/>
    <s v="Abi Nader"/>
    <s v="Mount Lebanon"/>
    <x v="1"/>
    <x v="0"/>
    <x v="23"/>
    <x v="23"/>
    <x v="2"/>
    <n v="96170860054"/>
    <s v="Spring  2024 - 2025"/>
    <n v="99"/>
    <n v="20"/>
    <n v="14"/>
    <n v="65"/>
    <n v="0.34343434343434343"/>
    <x v="1"/>
  </r>
  <r>
    <n v="62230363"/>
    <n v="193111"/>
    <s v="Nour"/>
    <s v="Shirad"/>
    <s v="Al Heck"/>
    <s v="Mount Lebanon"/>
    <x v="1"/>
    <x v="0"/>
    <x v="2"/>
    <x v="2"/>
    <x v="1"/>
    <n v="96171582019"/>
    <s v="Fall  2022 - 2023"/>
    <n v="99"/>
    <n v="84"/>
    <n v="9"/>
    <n v="6"/>
    <n v="0.93939393939393945"/>
    <x v="0"/>
  </r>
  <r>
    <n v="62330287"/>
    <n v="204225"/>
    <s v="Nour"/>
    <s v="Hussain"/>
    <s v="Al Jasem"/>
    <s v="Mount Lebanon"/>
    <x v="2"/>
    <x v="0"/>
    <x v="6"/>
    <x v="6"/>
    <x v="1"/>
    <n v="96170059179"/>
    <s v="Fall  2023 - 2024"/>
    <n v="99"/>
    <n v="30"/>
    <n v="12"/>
    <n v="57"/>
    <n v="0.42424242424242425"/>
    <x v="1"/>
  </r>
  <r>
    <n v="62430327"/>
    <n v="216897"/>
    <s v="Nour"/>
    <s v="Hassan"/>
    <s v="Chahine"/>
    <s v="Mount Lebanon"/>
    <x v="1"/>
    <x v="0"/>
    <x v="43"/>
    <x v="43"/>
    <x v="2"/>
    <n v="81147004"/>
    <s v="Fall  2024 - 2025"/>
    <n v="99"/>
    <n v="26"/>
    <n v="16"/>
    <n v="60"/>
    <n v="0.42424242424242425"/>
    <x v="1"/>
  </r>
  <r>
    <n v="62420003"/>
    <n v="209215"/>
    <s v="Nour"/>
    <s v="Carlos"/>
    <s v="Chaiban"/>
    <s v="Mount Lebanon"/>
    <x v="2"/>
    <x v="0"/>
    <x v="3"/>
    <x v="3"/>
    <x v="1"/>
    <n v="79191811"/>
    <s v="Summer  2023 - 2024"/>
    <n v="99"/>
    <n v="51"/>
    <n v="18"/>
    <n v="30"/>
    <n v="0.69696969696969702"/>
    <x v="0"/>
  </r>
  <r>
    <n v="62330320"/>
    <n v="206166"/>
    <s v="Nour"/>
    <s v="Shaaya"/>
    <s v="Dagher"/>
    <s v="Mount Lebanon"/>
    <x v="1"/>
    <x v="0"/>
    <x v="15"/>
    <x v="15"/>
    <x v="1"/>
    <n v="3278221"/>
    <s v="Fall  2023 - 2024"/>
    <n v="99"/>
    <n v="87"/>
    <n v="12"/>
    <n v="0"/>
    <n v="1"/>
    <x v="0"/>
  </r>
  <r>
    <n v="62610017"/>
    <n v="227236"/>
    <s v="Nour"/>
    <s v="Rabih"/>
    <s v="Sobh"/>
    <s v="Mount Lebanon"/>
    <x v="0"/>
    <x v="0"/>
    <x v="29"/>
    <x v="29"/>
    <x v="0"/>
    <n v="96181080553"/>
    <s v="Spring  2025 - 2026"/>
    <n v="108"/>
    <n v="0"/>
    <n v="21"/>
    <n v="102"/>
    <n v="0.19444444444444445"/>
    <x v="1"/>
  </r>
  <r>
    <n v="62510031"/>
    <n v="217815"/>
    <s v="Nour"/>
    <s v="Malek"/>
    <s v="Sukkar"/>
    <s v="Mount Lebanon"/>
    <x v="1"/>
    <x v="0"/>
    <x v="12"/>
    <x v="12"/>
    <x v="1"/>
    <n v="70557038"/>
    <s v="Spring  2024 - 2025"/>
    <n v="99"/>
    <n v="18"/>
    <n v="12"/>
    <n v="69"/>
    <n v="0.30303030303030304"/>
    <x v="1"/>
  </r>
  <r>
    <n v="62530092"/>
    <n v="223930"/>
    <s v="Odette"/>
    <s v="Hamid"/>
    <s v="El Akl"/>
    <s v="Mount Lebanon"/>
    <x v="1"/>
    <x v="0"/>
    <x v="12"/>
    <x v="12"/>
    <x v="1"/>
    <n v="81401993"/>
    <s v="Fall  2025 - 2026"/>
    <n v="99"/>
    <n v="15"/>
    <n v="18"/>
    <n v="66"/>
    <n v="0.33333333333333331"/>
    <x v="1"/>
  </r>
  <r>
    <n v="62230372"/>
    <n v="193171"/>
    <s v="Ohaness"/>
    <s v="Raffi"/>
    <s v="Artinian"/>
    <s v="Mount Lebanon"/>
    <x v="2"/>
    <x v="0"/>
    <x v="7"/>
    <x v="7"/>
    <x v="1"/>
    <n v="96178883996"/>
    <s v="Fall  2022 - 2023"/>
    <n v="99"/>
    <n v="72"/>
    <n v="18"/>
    <n v="9"/>
    <n v="0.90909090909090906"/>
    <x v="0"/>
  </r>
  <r>
    <n v="62410017"/>
    <n v="207961"/>
    <s v="Ohannes"/>
    <s v="Garo"/>
    <s v="Bedrossian"/>
    <s v="Mount Lebanon"/>
    <x v="2"/>
    <x v="0"/>
    <x v="3"/>
    <x v="3"/>
    <x v="1"/>
    <n v="96178934234"/>
    <s v="Spring  2023 - 2024"/>
    <n v="99"/>
    <n v="39"/>
    <n v="12"/>
    <n v="48"/>
    <n v="0.51515151515151514"/>
    <x v="0"/>
  </r>
  <r>
    <n v="62130276"/>
    <n v="172839"/>
    <s v="Oliver"/>
    <s v="Joseph"/>
    <s v="Bandar"/>
    <s v="Mount Lebanon"/>
    <x v="1"/>
    <x v="0"/>
    <x v="8"/>
    <x v="8"/>
    <x v="2"/>
    <n v="70522862"/>
    <s v="Fall  2021 - 2022"/>
    <n v="99"/>
    <n v="85"/>
    <n v="14"/>
    <n v="0"/>
    <n v="1"/>
    <x v="0"/>
  </r>
  <r>
    <n v="62230047"/>
    <n v="186423"/>
    <s v="Oliver"/>
    <s v="Andre"/>
    <s v="Lebbos"/>
    <s v="Mount Lebanon"/>
    <x v="2"/>
    <x v="0"/>
    <x v="7"/>
    <x v="7"/>
    <x v="1"/>
    <n v="76598579"/>
    <s v="Fall  2022 - 2023"/>
    <n v="99"/>
    <n v="36"/>
    <n v="12"/>
    <n v="51"/>
    <n v="0.48484848484848486"/>
    <x v="1"/>
  </r>
  <r>
    <n v="62530145"/>
    <n v="222267"/>
    <s v="Omar"/>
    <s v="Mahmoud"/>
    <s v="Al Jawich"/>
    <s v="Mount Lebanon"/>
    <x v="1"/>
    <x v="0"/>
    <x v="53"/>
    <x v="53"/>
    <x v="1"/>
    <n v="96181438619"/>
    <s v="Fall  2025 - 2026"/>
    <n v="99"/>
    <n v="9"/>
    <n v="16"/>
    <n v="75"/>
    <n v="0.25252525252525254"/>
    <x v="1"/>
  </r>
  <r>
    <n v="62530226"/>
    <n v="224576"/>
    <s v="Omar"/>
    <s v="Ahmad"/>
    <s v="Al Kachmar"/>
    <s v="Mount Lebanon"/>
    <x v="2"/>
    <x v="0"/>
    <x v="22"/>
    <x v="22"/>
    <x v="1"/>
    <n v="3157408"/>
    <s v="Fall  2025 - 2026"/>
    <n v="99"/>
    <n v="6"/>
    <n v="10"/>
    <n v="87"/>
    <n v="0.16161616161616163"/>
    <x v="1"/>
  </r>
  <r>
    <n v="62430301"/>
    <n v="216377"/>
    <s v="Ovannes"/>
    <s v="Hovsep"/>
    <s v="Hallajian"/>
    <s v="Mount Lebanon"/>
    <x v="0"/>
    <x v="0"/>
    <x v="1"/>
    <x v="1"/>
    <x v="0"/>
    <n v="76195548"/>
    <s v="Fall  2024 - 2025"/>
    <n v="108"/>
    <n v="47"/>
    <n v="14"/>
    <n v="47"/>
    <n v="0.56481481481481477"/>
    <x v="0"/>
  </r>
  <r>
    <n v="62530047"/>
    <n v="219789"/>
    <s v="Palig"/>
    <s v="Raffi"/>
    <s v="Boghossian"/>
    <s v="Mount Lebanon"/>
    <x v="1"/>
    <x v="0"/>
    <x v="28"/>
    <x v="28"/>
    <x v="2"/>
    <n v="96181812580"/>
    <s v="Fall  2025 - 2026"/>
    <n v="99"/>
    <n v="13"/>
    <n v="14"/>
    <n v="72"/>
    <n v="0.27272727272727271"/>
    <x v="1"/>
  </r>
  <r>
    <n v="62130238"/>
    <n v="171270"/>
    <s v="Palig"/>
    <s v="Manuel"/>
    <s v="Mahigian"/>
    <s v="Mount Lebanon"/>
    <x v="2"/>
    <x v="0"/>
    <x v="3"/>
    <x v="3"/>
    <x v="1"/>
    <n v="96176021385"/>
    <s v="Fall  2021 - 2022"/>
    <n v="99"/>
    <n v="84"/>
    <n v="12"/>
    <n v="3"/>
    <n v="0.96969696969696972"/>
    <x v="0"/>
  </r>
  <r>
    <n v="62410009"/>
    <n v="207953"/>
    <s v="Pamela"/>
    <s v="Elias"/>
    <s v="El Murr"/>
    <s v="Mount Lebanon"/>
    <x v="2"/>
    <x v="0"/>
    <x v="32"/>
    <x v="32"/>
    <x v="1"/>
    <n v="96178980760"/>
    <s v="Spring  2023 - 2024"/>
    <n v="99"/>
    <n v="27"/>
    <n v="9"/>
    <n v="63"/>
    <n v="0.36363636363636365"/>
    <x v="1"/>
  </r>
  <r>
    <n v="62530209"/>
    <n v="225924"/>
    <s v="Pamela"/>
    <s v="Joseph"/>
    <s v="Matta"/>
    <s v="Mount Lebanon"/>
    <x v="1"/>
    <x v="0"/>
    <x v="54"/>
    <x v="54"/>
    <x v="1"/>
    <n v="9613417709"/>
    <s v="Fall  2025 - 2026"/>
    <n v="108"/>
    <n v="54"/>
    <n v="18"/>
    <n v="36"/>
    <n v="0.66666666666666663"/>
    <x v="0"/>
  </r>
  <r>
    <n v="62330166"/>
    <n v="200558"/>
    <s v="Patil"/>
    <s v="Margaros"/>
    <s v="Demirdjian"/>
    <s v="Mount Lebanon"/>
    <x v="1"/>
    <x v="0"/>
    <x v="5"/>
    <x v="5"/>
    <x v="1"/>
    <n v="71912326"/>
    <s v="Fall  2023 - 2024"/>
    <n v="100"/>
    <n v="41"/>
    <n v="15"/>
    <n v="44"/>
    <n v="0.56000000000000005"/>
    <x v="0"/>
  </r>
  <r>
    <n v="62330027"/>
    <n v="216505"/>
    <s v="Patil"/>
    <s v="Harout"/>
    <s v="Dergarabedian"/>
    <s v="Mount Lebanon"/>
    <x v="2"/>
    <x v="0"/>
    <x v="3"/>
    <x v="3"/>
    <x v="1"/>
    <n v="96171514397"/>
    <s v="Fall  2024 - 2025"/>
    <n v="99"/>
    <n v="48"/>
    <n v="18"/>
    <n v="33"/>
    <n v="0.66666666666666663"/>
    <x v="0"/>
  </r>
  <r>
    <n v="62530006"/>
    <n v="219808"/>
    <s v="Patil"/>
    <s v="Rafi"/>
    <s v="Sahaguian"/>
    <s v="Mount Lebanon"/>
    <x v="1"/>
    <x v="0"/>
    <x v="23"/>
    <x v="23"/>
    <x v="2"/>
    <n v="96181628761"/>
    <s v="Fall  2025 - 2026"/>
    <n v="99"/>
    <n v="11"/>
    <n v="14"/>
    <n v="74"/>
    <n v="0.25252525252525254"/>
    <x v="1"/>
  </r>
  <r>
    <n v="62110023"/>
    <n v="164221"/>
    <s v="Patile"/>
    <s v="Manouk"/>
    <s v="Awedissian"/>
    <s v="Mount Lebanon"/>
    <x v="1"/>
    <x v="0"/>
    <x v="8"/>
    <x v="8"/>
    <x v="2"/>
    <n v="96176641858"/>
    <s v="Spring  2020 - 2021"/>
    <n v="99"/>
    <n v="85"/>
    <n v="10"/>
    <n v="4"/>
    <n v="0.95959595959595956"/>
    <x v="0"/>
  </r>
  <r>
    <n v="62230233"/>
    <n v="189114"/>
    <s v="Patimiana"/>
    <s v="Maroun"/>
    <s v="Moubarak"/>
    <s v="Mount Lebanon"/>
    <x v="2"/>
    <x v="0"/>
    <x v="3"/>
    <x v="3"/>
    <x v="1"/>
    <n v="81399064"/>
    <s v="Fall  2022 - 2023"/>
    <n v="99"/>
    <n v="33"/>
    <n v="12"/>
    <n v="54"/>
    <n v="0.45454545454545453"/>
    <x v="1"/>
  </r>
  <r>
    <n v="62530028"/>
    <n v="219375"/>
    <s v="Paul"/>
    <s v="Ibrahim"/>
    <s v="Al Breidy"/>
    <s v="Mount Lebanon"/>
    <x v="1"/>
    <x v="0"/>
    <x v="48"/>
    <x v="48"/>
    <x v="1"/>
    <n v="96176667188"/>
    <s v="Fall  2025 - 2026"/>
    <n v="108"/>
    <n v="3"/>
    <n v="12"/>
    <n v="93"/>
    <n v="0.1388888888888889"/>
    <x v="1"/>
  </r>
  <r>
    <n v="62030258"/>
    <n v="156765"/>
    <s v="Paul"/>
    <s v="Robert"/>
    <s v="Semaan"/>
    <s v="Mount Lebanon"/>
    <x v="0"/>
    <x v="0"/>
    <x v="16"/>
    <x v="16"/>
    <x v="0"/>
    <n v="76425841"/>
    <s v="Fall  2020 - 2021"/>
    <n v="108"/>
    <n v="73"/>
    <n v="9"/>
    <n v="26"/>
    <n v="0.7592592592592593"/>
    <x v="0"/>
  </r>
  <r>
    <n v="62330199"/>
    <n v="202619"/>
    <s v="Paulina"/>
    <s v="Raymon"/>
    <s v="Geagea"/>
    <s v="Mount Lebanon"/>
    <x v="2"/>
    <x v="0"/>
    <x v="17"/>
    <x v="17"/>
    <x v="2"/>
    <n v="3485420"/>
    <s v="Fall  2023 - 2024"/>
    <n v="99"/>
    <n v="75"/>
    <n v="12"/>
    <n v="12"/>
    <n v="0.87878787878787878"/>
    <x v="0"/>
  </r>
  <r>
    <n v="62230258"/>
    <n v="189136"/>
    <s v="Perla"/>
    <s v="Rita"/>
    <s v="Oughourlian"/>
    <s v="Mount Lebanon"/>
    <x v="1"/>
    <x v="0"/>
    <x v="34"/>
    <x v="34"/>
    <x v="1"/>
    <n v="70151435"/>
    <s v="Fall  2022 - 2023"/>
    <n v="108"/>
    <n v="60"/>
    <n v="15"/>
    <n v="33"/>
    <n v="0.69444444444444442"/>
    <x v="0"/>
  </r>
  <r>
    <n v="62130105"/>
    <n v="168603"/>
    <s v="Peter"/>
    <s v="Ayman"/>
    <s v="Al Sayegh"/>
    <s v="Mount Lebanon"/>
    <x v="1"/>
    <x v="0"/>
    <x v="5"/>
    <x v="5"/>
    <x v="1"/>
    <n v="96181737194"/>
    <s v="Fall  2021 - 2022"/>
    <n v="100"/>
    <n v="70"/>
    <n v="6"/>
    <n v="24"/>
    <n v="0.76"/>
    <x v="0"/>
  </r>
  <r>
    <n v="62230146"/>
    <n v="191118"/>
    <s v="Peter"/>
    <s v="Arsen"/>
    <s v="Bozikian"/>
    <s v="Mount Lebanon"/>
    <x v="0"/>
    <x v="0"/>
    <x v="1"/>
    <x v="1"/>
    <x v="0"/>
    <n v="96181764763"/>
    <s v="Fall  2022 - 2023"/>
    <n v="108"/>
    <n v="91"/>
    <n v="17"/>
    <n v="0"/>
    <n v="1"/>
    <x v="0"/>
  </r>
  <r>
    <n v="62530279"/>
    <n v="226819"/>
    <s v="Peter"/>
    <s v="Gaby"/>
    <s v="El Hasrouty"/>
    <s v="Mount Lebanon"/>
    <x v="1"/>
    <x v="0"/>
    <x v="35"/>
    <x v="35"/>
    <x v="1"/>
    <n v="96181297830"/>
    <s v="Fall  2025 - 2026"/>
    <n v="99"/>
    <n v="12"/>
    <n v="13"/>
    <n v="78"/>
    <n v="0.25252525252525254"/>
    <x v="1"/>
  </r>
  <r>
    <n v="62330041"/>
    <n v="198770"/>
    <s v="Peter"/>
    <s v="Tanios"/>
    <s v="Saliba"/>
    <s v="Mount Lebanon"/>
    <x v="0"/>
    <x v="0"/>
    <x v="1"/>
    <x v="1"/>
    <x v="0"/>
    <n v="76134436"/>
    <s v="Fall  2023 - 2024"/>
    <n v="108"/>
    <n v="62"/>
    <n v="15"/>
    <n v="31"/>
    <n v="0.71296296296296291"/>
    <x v="0"/>
  </r>
  <r>
    <n v="62330196"/>
    <n v="204759"/>
    <s v="Philippe"/>
    <s v="Michel"/>
    <s v="Saliba"/>
    <s v="Mount Lebanon"/>
    <x v="2"/>
    <x v="0"/>
    <x v="6"/>
    <x v="6"/>
    <x v="1"/>
    <n v="96176188665"/>
    <s v="Fall  2023 - 2024"/>
    <n v="99"/>
    <n v="36"/>
    <n v="12"/>
    <n v="51"/>
    <n v="0.48484848484848486"/>
    <x v="1"/>
  </r>
  <r>
    <n v="62430160"/>
    <n v="212239"/>
    <s v="Pia"/>
    <s v="Nasser"/>
    <s v="Matar"/>
    <s v="Mount Lebanon"/>
    <x v="1"/>
    <x v="0"/>
    <x v="8"/>
    <x v="8"/>
    <x v="2"/>
    <n v="96170867563"/>
    <s v="Fall  2024 - 2025"/>
    <n v="99"/>
    <n v="39"/>
    <n v="13"/>
    <n v="47"/>
    <n v="0.5252525252525253"/>
    <x v="0"/>
  </r>
  <r>
    <n v="62130373"/>
    <n v="176069"/>
    <s v="Pierre"/>
    <s v="Hagop"/>
    <s v="Adjemian"/>
    <s v="Mount Lebanon"/>
    <x v="1"/>
    <x v="0"/>
    <x v="55"/>
    <x v="55"/>
    <x v="1"/>
    <n v="71068286"/>
    <s v="Fall  2021 - 2022"/>
    <n v="100"/>
    <n v="91"/>
    <n v="3"/>
    <n v="6"/>
    <n v="0.94"/>
    <x v="0"/>
  </r>
  <r>
    <n v="62310008"/>
    <n v="196950"/>
    <s v="Rabih"/>
    <s v="Mohamad"/>
    <s v="Al Mohamad"/>
    <s v="Mount Lebanon"/>
    <x v="0"/>
    <x v="0"/>
    <x v="1"/>
    <x v="1"/>
    <x v="0"/>
    <n v="3361442"/>
    <s v="Spring  2022 - 2023"/>
    <n v="108"/>
    <n v="10"/>
    <n v="9"/>
    <n v="89"/>
    <n v="0.17592592592592593"/>
    <x v="1"/>
  </r>
  <r>
    <n v="62330032"/>
    <n v="198777"/>
    <s v="Rabih"/>
    <s v="Joseph"/>
    <s v="Arbache"/>
    <s v="Mount Lebanon"/>
    <x v="1"/>
    <x v="0"/>
    <x v="5"/>
    <x v="5"/>
    <x v="1"/>
    <n v="96176073130"/>
    <s v="Fall  2023 - 2024"/>
    <n v="100"/>
    <n v="88"/>
    <n v="12"/>
    <n v="0"/>
    <n v="1"/>
    <x v="0"/>
  </r>
  <r>
    <n v="62330134"/>
    <n v="200547"/>
    <s v="Rabih"/>
    <s v="Jawad"/>
    <s v="Chmeis"/>
    <s v="Mount Lebanon"/>
    <x v="2"/>
    <x v="0"/>
    <x v="7"/>
    <x v="7"/>
    <x v="1"/>
    <n v="96170025509"/>
    <s v="Fall  2023 - 2024"/>
    <n v="99"/>
    <n v="42"/>
    <n v="15"/>
    <n v="42"/>
    <n v="0.5757575757575758"/>
    <x v="0"/>
  </r>
  <r>
    <n v="62410047"/>
    <n v="208218"/>
    <s v="Rabih"/>
    <s v="Ramadan Faraj Khalifa"/>
    <s v="Hassan"/>
    <s v="Mount Lebanon"/>
    <x v="2"/>
    <x v="0"/>
    <x v="6"/>
    <x v="6"/>
    <x v="1"/>
    <n v="81257598"/>
    <s v="Spring  2023 - 2024"/>
    <n v="99"/>
    <n v="51"/>
    <n v="9"/>
    <n v="39"/>
    <n v="0.60606060606060608"/>
    <x v="0"/>
  </r>
  <r>
    <n v="92430351"/>
    <n v="217424"/>
    <s v="Rabih"/>
    <s v="Khaled"/>
    <s v="Kreir"/>
    <s v="Mount Lebanon"/>
    <x v="0"/>
    <x v="0"/>
    <x v="1"/>
    <x v="1"/>
    <x v="0"/>
    <n v="81509541"/>
    <s v="Fall  2024 - 2025"/>
    <n v="108"/>
    <n v="9"/>
    <n v="14"/>
    <n v="89"/>
    <n v="0.21296296296296297"/>
    <x v="1"/>
  </r>
  <r>
    <n v="62330304"/>
    <n v="205913"/>
    <s v="Rabih"/>
    <s v="Kassem"/>
    <s v="Merhi"/>
    <s v="Mount Lebanon"/>
    <x v="1"/>
    <x v="0"/>
    <x v="48"/>
    <x v="48"/>
    <x v="1"/>
    <n v="96171254335"/>
    <s v="Fall  2023 - 2024"/>
    <n v="108"/>
    <n v="15"/>
    <n v="12"/>
    <n v="81"/>
    <n v="0.25"/>
    <x v="1"/>
  </r>
  <r>
    <n v="62430289"/>
    <n v="215588"/>
    <s v="Rachad"/>
    <s v="Hamza"/>
    <s v="Zeineddine"/>
    <s v="Mount Lebanon"/>
    <x v="0"/>
    <x v="0"/>
    <x v="13"/>
    <x v="13"/>
    <x v="0"/>
    <n v="76374961"/>
    <s v="Fall  2024 - 2025"/>
    <n v="108"/>
    <n v="9"/>
    <n v="10"/>
    <n v="89"/>
    <n v="0.17592592592592593"/>
    <x v="1"/>
  </r>
  <r>
    <n v="62510039"/>
    <n v="217938"/>
    <s v="Radwan"/>
    <s v="Maher"/>
    <s v="Sheikh Ahmed"/>
    <s v="Mount Lebanon"/>
    <x v="1"/>
    <x v="0"/>
    <x v="5"/>
    <x v="5"/>
    <x v="1"/>
    <n v="96176893735"/>
    <s v="Spring  2024 - 2025"/>
    <n v="100"/>
    <n v="28"/>
    <n v="16"/>
    <n v="56"/>
    <n v="0.44"/>
    <x v="1"/>
  </r>
  <r>
    <n v="62430109"/>
    <n v="210038"/>
    <s v="Rafah"/>
    <s v="Khodor"/>
    <s v="Noun"/>
    <s v="Mount Lebanon"/>
    <x v="1"/>
    <x v="0"/>
    <x v="15"/>
    <x v="15"/>
    <x v="1"/>
    <n v="96176686410"/>
    <s v="Fall  2024 - 2025"/>
    <n v="99"/>
    <n v="34"/>
    <n v="19"/>
    <n v="46"/>
    <n v="0.53535353535353536"/>
    <x v="0"/>
  </r>
  <r>
    <n v="62330007"/>
    <n v="198749"/>
    <s v="Rafi"/>
    <s v="Eyad"/>
    <s v="Al Khouri"/>
    <s v="Mount Lebanon"/>
    <x v="5"/>
    <x v="0"/>
    <x v="39"/>
    <x v="39"/>
    <x v="1"/>
    <n v="96181694926"/>
    <s v="Fall  2023 - 2024"/>
    <n v="31"/>
    <n v="24"/>
    <n v="7"/>
    <n v="0"/>
    <n v="1"/>
    <x v="0"/>
  </r>
  <r>
    <n v="61830185"/>
    <n v="132330"/>
    <s v="Ralf"/>
    <s v="Antoine"/>
    <s v="Nemnom"/>
    <s v="Mount Lebanon"/>
    <x v="1"/>
    <x v="0"/>
    <x v="34"/>
    <x v="34"/>
    <x v="1"/>
    <n v="96170356497"/>
    <s v="Fall  2018 - 2019"/>
    <n v="108"/>
    <n v="102"/>
    <n v="6"/>
    <n v="0"/>
    <n v="1"/>
    <x v="0"/>
  </r>
  <r>
    <n v="62510021"/>
    <n v="217797"/>
    <s v="Ralph"/>
    <s v="Pierre"/>
    <s v="Amirkhan"/>
    <s v="Mount Lebanon"/>
    <x v="0"/>
    <x v="0"/>
    <x v="1"/>
    <x v="1"/>
    <x v="0"/>
    <n v="3226768"/>
    <s v="Spring  2024 - 2025"/>
    <n v="108"/>
    <n v="3"/>
    <n v="13"/>
    <n v="92"/>
    <n v="0.14814814814814814"/>
    <x v="1"/>
  </r>
  <r>
    <n v="62410022"/>
    <n v="207962"/>
    <s v="Ralph"/>
    <s v="Sarkis"/>
    <s v="Bastermaji"/>
    <s v="Mount Lebanon"/>
    <x v="1"/>
    <x v="0"/>
    <x v="24"/>
    <x v="24"/>
    <x v="1"/>
    <n v="81214349"/>
    <s v="Spring  2023 - 2024"/>
    <n v="108"/>
    <n v="45"/>
    <n v="15"/>
    <n v="48"/>
    <n v="0.55555555555555558"/>
    <x v="0"/>
  </r>
  <r>
    <n v="62530054"/>
    <n v="219824"/>
    <s v="Ralph"/>
    <s v="Houssam"/>
    <s v="Mallak"/>
    <s v="Mount Lebanon"/>
    <x v="0"/>
    <x v="0"/>
    <x v="1"/>
    <x v="1"/>
    <x v="0"/>
    <n v="76516166"/>
    <s v="Fall  2025 - 2026"/>
    <n v="108"/>
    <n v="6"/>
    <n v="12"/>
    <n v="90"/>
    <n v="0.16666666666666666"/>
    <x v="1"/>
  </r>
  <r>
    <n v="62230241"/>
    <n v="188630"/>
    <s v="Ralph Anthony"/>
    <s v="Sarkis"/>
    <s v="Mikaelian"/>
    <s v="Mount Lebanon"/>
    <x v="1"/>
    <x v="0"/>
    <x v="5"/>
    <x v="5"/>
    <x v="1"/>
    <n v="96181928442"/>
    <s v="Fall  2022 - 2023"/>
    <n v="100"/>
    <n v="73"/>
    <n v="12"/>
    <n v="15"/>
    <n v="0.85"/>
    <x v="0"/>
  </r>
  <r>
    <n v="62430260"/>
    <n v="216053"/>
    <s v="Ramez"/>
    <s v="Tony"/>
    <s v="Al Boustani"/>
    <s v="Mount Lebanon"/>
    <x v="2"/>
    <x v="0"/>
    <x v="6"/>
    <x v="6"/>
    <x v="1"/>
    <n v="96176631313"/>
    <s v="Fall  2024 - 2025"/>
    <n v="99"/>
    <n v="18"/>
    <n v="15"/>
    <n v="66"/>
    <n v="0.33333333333333331"/>
    <x v="1"/>
  </r>
  <r>
    <n v="62530097"/>
    <n v="220490"/>
    <s v="Rami"/>
    <s v="Ali"/>
    <s v="Noun"/>
    <s v="Mount Lebanon"/>
    <x v="1"/>
    <x v="0"/>
    <x v="35"/>
    <x v="35"/>
    <x v="1"/>
    <n v="96171501152"/>
    <s v="Fall  2025 - 2026"/>
    <n v="99"/>
    <n v="6"/>
    <n v="13"/>
    <n v="89"/>
    <n v="0.19191919191919191"/>
    <x v="1"/>
  </r>
  <r>
    <n v="62530137"/>
    <n v="222238"/>
    <s v="Randa Jermie"/>
    <s v="Mohammad"/>
    <s v="Jaber"/>
    <s v="Mount Lebanon"/>
    <x v="4"/>
    <x v="0"/>
    <x v="56"/>
    <x v="56"/>
    <x v="1"/>
    <n v="96178867974"/>
    <s v="Fall  2025 - 2026"/>
    <n v="108"/>
    <n v="6"/>
    <n v="15"/>
    <n v="87"/>
    <n v="0.19444444444444445"/>
    <x v="1"/>
  </r>
  <r>
    <n v="62530237"/>
    <n v="224974"/>
    <s v="Rania"/>
    <s v="Haitham"/>
    <s v="Al Hajj Hussein"/>
    <s v="Mount Lebanon"/>
    <x v="2"/>
    <x v="0"/>
    <x v="11"/>
    <x v="11"/>
    <x v="1"/>
    <n v="96171305271"/>
    <s v="Fall  2025 - 2026"/>
    <n v="99"/>
    <n v="6"/>
    <n v="10"/>
    <n v="91"/>
    <n v="0.16161616161616163"/>
    <x v="1"/>
  </r>
  <r>
    <n v="62530267"/>
    <n v="226536"/>
    <s v="Ranim"/>
    <s v="Mahdi"/>
    <s v="Haj Hassan"/>
    <s v="Mount Lebanon"/>
    <x v="1"/>
    <x v="0"/>
    <x v="28"/>
    <x v="28"/>
    <x v="2"/>
    <n v="96181687627"/>
    <s v="Fall  2025 - 2026"/>
    <n v="99"/>
    <n v="16"/>
    <n v="17"/>
    <n v="66"/>
    <n v="0.33333333333333331"/>
    <x v="1"/>
  </r>
  <r>
    <n v="62330167"/>
    <n v="200542"/>
    <s v="Ranime"/>
    <s v="Merhi"/>
    <s v="Massaad"/>
    <s v="Mount Lebanon"/>
    <x v="1"/>
    <x v="0"/>
    <x v="15"/>
    <x v="15"/>
    <x v="1"/>
    <n v="96171236719"/>
    <s v="Fall  2023 - 2024"/>
    <n v="99"/>
    <n v="55"/>
    <n v="16"/>
    <n v="28"/>
    <n v="0.71717171717171713"/>
    <x v="0"/>
  </r>
  <r>
    <n v="62610005"/>
    <n v="227240"/>
    <s v="Rawane"/>
    <s v="Toni"/>
    <s v="Basset"/>
    <s v="Mount Lebanon"/>
    <x v="1"/>
    <x v="0"/>
    <x v="26"/>
    <x v="26"/>
    <x v="1"/>
    <n v="96181074929"/>
    <s v="Spring  2025 - 2026"/>
    <n v="99"/>
    <n v="0"/>
    <n v="12"/>
    <n v="93"/>
    <n v="0.12121212121212122"/>
    <x v="1"/>
  </r>
  <r>
    <n v="62530252"/>
    <n v="225554"/>
    <s v="Rawna"/>
    <s v="Yousef"/>
    <s v="Aldinar"/>
    <s v="Mount Lebanon"/>
    <x v="2"/>
    <x v="0"/>
    <x v="9"/>
    <x v="9"/>
    <x v="1"/>
    <n v="81231462"/>
    <s v="Fall  2025 - 2026"/>
    <n v="99"/>
    <n v="0"/>
    <n v="13"/>
    <n v="94"/>
    <n v="0.13131313131313133"/>
    <x v="1"/>
  </r>
  <r>
    <n v="62230145"/>
    <n v="188162"/>
    <s v="Rayan"/>
    <s v="Kamil"/>
    <s v="Husseini"/>
    <s v="Mount Lebanon"/>
    <x v="2"/>
    <x v="0"/>
    <x v="6"/>
    <x v="6"/>
    <x v="1"/>
    <n v="96176903142"/>
    <s v="Fall  2022 - 2023"/>
    <n v="99"/>
    <n v="12"/>
    <n v="13"/>
    <n v="82"/>
    <n v="0.25252525252525254"/>
    <x v="1"/>
  </r>
  <r>
    <n v="62430324"/>
    <n v="216891"/>
    <s v="Rayane"/>
    <s v="Rabih"/>
    <s v="Sahmarani"/>
    <s v="Mount Lebanon"/>
    <x v="1"/>
    <x v="0"/>
    <x v="8"/>
    <x v="8"/>
    <x v="2"/>
    <n v="96171498467"/>
    <s v="Fall  2024 - 2025"/>
    <n v="99"/>
    <n v="17"/>
    <n v="14"/>
    <n v="68"/>
    <n v="0.31313131313131315"/>
    <x v="1"/>
  </r>
  <r>
    <n v="61510051"/>
    <n v="92003"/>
    <s v="Razmig"/>
    <s v="Fram Missak"/>
    <s v="Derpilibossian"/>
    <s v="Mount Lebanon"/>
    <x v="2"/>
    <x v="0"/>
    <x v="6"/>
    <x v="6"/>
    <x v="1"/>
    <n v="3283624"/>
    <s v="Spring  2014 - 2015"/>
    <n v="99"/>
    <n v="84"/>
    <n v="15"/>
    <n v="0"/>
    <n v="1"/>
    <x v="0"/>
  </r>
  <r>
    <n v="62230042"/>
    <n v="188113"/>
    <s v="Rebecca"/>
    <s v="Gilbert"/>
    <s v="Attieh"/>
    <s v="Mount Lebanon"/>
    <x v="1"/>
    <x v="0"/>
    <x v="14"/>
    <x v="14"/>
    <x v="2"/>
    <n v="76157317"/>
    <s v="Fall  2022 - 2023"/>
    <n v="105"/>
    <n v="93"/>
    <n v="12"/>
    <n v="0"/>
    <n v="1"/>
    <x v="0"/>
  </r>
  <r>
    <n v="62510047"/>
    <n v="218667"/>
    <s v="Rebecca"/>
    <s v="Elias"/>
    <s v="Rizk"/>
    <s v="Mount Lebanon"/>
    <x v="1"/>
    <x v="0"/>
    <x v="23"/>
    <x v="23"/>
    <x v="2"/>
    <n v="76354033"/>
    <s v="Spring  2024 - 2025"/>
    <n v="99"/>
    <n v="62"/>
    <n v="14"/>
    <n v="23"/>
    <n v="0.76767676767676762"/>
    <x v="0"/>
  </r>
  <r>
    <n v="62230149"/>
    <n v="187653"/>
    <s v="Reem"/>
    <s v="Youssef"/>
    <s v="Abou Ghaddara"/>
    <s v="Mount Lebanon"/>
    <x v="2"/>
    <x v="0"/>
    <x v="3"/>
    <x v="3"/>
    <x v="1"/>
    <n v="96170939132"/>
    <s v="Fall  2022 - 2023"/>
    <n v="99"/>
    <n v="87"/>
    <n v="12"/>
    <n v="0"/>
    <n v="1"/>
    <x v="0"/>
  </r>
  <r>
    <n v="62430167"/>
    <n v="212188"/>
    <s v="Regina"/>
    <s v="Karim"/>
    <s v="El Murr"/>
    <s v="Mount Lebanon"/>
    <x v="2"/>
    <x v="0"/>
    <x v="17"/>
    <x v="17"/>
    <x v="2"/>
    <n v="76381909"/>
    <s v="Fall  2024 - 2025"/>
    <n v="99"/>
    <n v="24"/>
    <n v="12"/>
    <n v="63"/>
    <n v="0.36363636363636365"/>
    <x v="1"/>
  </r>
  <r>
    <n v="62330170"/>
    <n v="201037"/>
    <s v="Reine"/>
    <s v="Pierre"/>
    <s v="Alsaad"/>
    <s v="Mount Lebanon"/>
    <x v="1"/>
    <x v="0"/>
    <x v="15"/>
    <x v="15"/>
    <x v="1"/>
    <n v="96176844025"/>
    <s v="Fall  2023 - 2024"/>
    <n v="99"/>
    <n v="61"/>
    <n v="16"/>
    <n v="22"/>
    <n v="0.77777777777777779"/>
    <x v="0"/>
  </r>
  <r>
    <n v="62030134"/>
    <n v="153464"/>
    <s v="Reine Awatef"/>
    <s v="Ikab"/>
    <s v="Baalbaki"/>
    <s v="Mount Lebanon"/>
    <x v="1"/>
    <x v="0"/>
    <x v="24"/>
    <x v="24"/>
    <x v="1"/>
    <n v="81335248"/>
    <s v="Fall  2020 - 2021"/>
    <n v="108"/>
    <n v="105"/>
    <n v="3"/>
    <n v="0"/>
    <n v="1"/>
    <x v="0"/>
  </r>
  <r>
    <n v="62230009"/>
    <n v="186432"/>
    <s v="Renee Deidre"/>
    <s v="Antoine"/>
    <s v="Al Alam"/>
    <s v="Mount Lebanon"/>
    <x v="1"/>
    <x v="0"/>
    <x v="36"/>
    <x v="36"/>
    <x v="1"/>
    <n v="70188763"/>
    <s v="Fall  2022 - 2023"/>
    <n v="108"/>
    <n v="87"/>
    <n v="9"/>
    <n v="12"/>
    <n v="0.88888888888888884"/>
    <x v="0"/>
  </r>
  <r>
    <n v="62530080"/>
    <n v="219786"/>
    <s v="Rim"/>
    <s v="Jalal"/>
    <s v="Fakih"/>
    <s v="Mount Lebanon"/>
    <x v="1"/>
    <x v="0"/>
    <x v="12"/>
    <x v="12"/>
    <x v="1"/>
    <n v="96171501834"/>
    <s v="Fall  2025 - 2026"/>
    <n v="99"/>
    <n v="9"/>
    <n v="16"/>
    <n v="78"/>
    <n v="0.25252525252525254"/>
    <x v="1"/>
  </r>
  <r>
    <n v="62510016"/>
    <n v="217799"/>
    <s v="Rima"/>
    <s v="Ahmad"/>
    <s v="Shahine"/>
    <s v="Mount Lebanon"/>
    <x v="1"/>
    <x v="0"/>
    <x v="49"/>
    <x v="49"/>
    <x v="2"/>
    <n v="76131127"/>
    <s v="Spring  2024 - 2025"/>
    <n v="99"/>
    <n v="13"/>
    <n v="10"/>
    <n v="76"/>
    <n v="0.23232323232323232"/>
    <x v="1"/>
  </r>
  <r>
    <n v="62230353"/>
    <n v="191690"/>
    <s v="Rita"/>
    <s v="Khalil"/>
    <s v="Abou Nasser"/>
    <s v="Mount Lebanon"/>
    <x v="2"/>
    <x v="0"/>
    <x v="30"/>
    <x v="30"/>
    <x v="1"/>
    <n v="71781377"/>
    <s v="Fall  2022 - 2023"/>
    <n v="99"/>
    <n v="81"/>
    <n v="18"/>
    <n v="0"/>
    <n v="1"/>
    <x v="0"/>
  </r>
  <r>
    <n v="62330080"/>
    <n v="201961"/>
    <s v="Rita"/>
    <s v="Edgard"/>
    <s v="Aoun"/>
    <s v="Mount Lebanon"/>
    <x v="1"/>
    <x v="0"/>
    <x v="8"/>
    <x v="8"/>
    <x v="2"/>
    <n v="96181764545"/>
    <s v="Fall  2023 - 2024"/>
    <n v="99"/>
    <n v="65"/>
    <n v="16"/>
    <n v="18"/>
    <n v="0.81818181818181823"/>
    <x v="0"/>
  </r>
  <r>
    <n v="62330294"/>
    <n v="205847"/>
    <s v="Rita"/>
    <s v="Kamal"/>
    <s v="Dagher"/>
    <s v="Mount Lebanon"/>
    <x v="2"/>
    <x v="0"/>
    <x v="6"/>
    <x v="6"/>
    <x v="1"/>
    <n v="76496065"/>
    <s v="Fall  2023 - 2024"/>
    <n v="99"/>
    <n v="27"/>
    <n v="12"/>
    <n v="60"/>
    <n v="0.39393939393939392"/>
    <x v="1"/>
  </r>
  <r>
    <n v="62230368"/>
    <n v="193291"/>
    <s v="Rita"/>
    <s v="Tony"/>
    <s v="Daniel"/>
    <s v="Mount Lebanon"/>
    <x v="1"/>
    <x v="0"/>
    <x v="14"/>
    <x v="14"/>
    <x v="2"/>
    <n v="96178848588"/>
    <s v="Fall  2022 - 2023"/>
    <n v="105"/>
    <n v="87"/>
    <n v="15"/>
    <n v="3"/>
    <n v="0.97142857142857142"/>
    <x v="0"/>
  </r>
  <r>
    <n v="62230043"/>
    <n v="188103"/>
    <s v="Rita"/>
    <s v="Varoujan"/>
    <s v="Dekermenjian"/>
    <s v="Mount Lebanon"/>
    <x v="2"/>
    <x v="0"/>
    <x v="17"/>
    <x v="17"/>
    <x v="2"/>
    <n v="71076323"/>
    <s v="Fall  2022 - 2023"/>
    <n v="99"/>
    <n v="87"/>
    <n v="12"/>
    <n v="0"/>
    <n v="1"/>
    <x v="0"/>
  </r>
  <r>
    <n v="62530003"/>
    <n v="221454"/>
    <s v="Rita"/>
    <s v="Elie"/>
    <s v="El Khoury"/>
    <s v="Mount Lebanon"/>
    <x v="3"/>
    <x v="0"/>
    <x v="20"/>
    <x v="20"/>
    <x v="2"/>
    <n v="96170726280"/>
    <s v="Fall  2025 - 2026"/>
    <n v="65"/>
    <n v="16"/>
    <n v="16"/>
    <n v="33"/>
    <n v="0.49230769230769234"/>
    <x v="1"/>
  </r>
  <r>
    <n v="62530113"/>
    <n v="220910"/>
    <s v="Rita"/>
    <s v="Yeghya"/>
    <s v="Joubanian"/>
    <s v="Mount Lebanon"/>
    <x v="1"/>
    <x v="0"/>
    <x v="35"/>
    <x v="35"/>
    <x v="1"/>
    <n v="96171931869"/>
    <s v="Fall  2025 - 2026"/>
    <n v="99"/>
    <n v="57"/>
    <n v="9"/>
    <n v="34"/>
    <n v="0.66666666666666663"/>
    <x v="0"/>
  </r>
  <r>
    <n v="62430235"/>
    <n v="214108"/>
    <s v="Rita"/>
    <s v="Elias"/>
    <s v="Nohra"/>
    <s v="Mount Lebanon"/>
    <x v="1"/>
    <x v="0"/>
    <x v="2"/>
    <x v="2"/>
    <x v="1"/>
    <n v="81363160"/>
    <s v="Fall  2024 - 2025"/>
    <n v="99"/>
    <n v="43"/>
    <n v="16"/>
    <n v="40"/>
    <n v="0.59595959595959591"/>
    <x v="0"/>
  </r>
  <r>
    <n v="62130254"/>
    <n v="171267"/>
    <s v="Rita"/>
    <s v="Kamil"/>
    <s v="Youssef"/>
    <s v="Mount Lebanon"/>
    <x v="1"/>
    <x v="0"/>
    <x v="26"/>
    <x v="26"/>
    <x v="1"/>
    <n v="71672145"/>
    <s v="Fall  2021 - 2022"/>
    <n v="99"/>
    <n v="42"/>
    <n v="9"/>
    <n v="48"/>
    <n v="0.51515151515151514"/>
    <x v="0"/>
  </r>
  <r>
    <n v="62430074"/>
    <n v="209732"/>
    <s v="Rita"/>
    <s v="Ghassan"/>
    <s v="Zakharia"/>
    <s v="Mount Lebanon"/>
    <x v="1"/>
    <x v="0"/>
    <x v="8"/>
    <x v="8"/>
    <x v="2"/>
    <n v="96170068607"/>
    <s v="Fall  2024 - 2025"/>
    <n v="99"/>
    <n v="38"/>
    <n v="15"/>
    <n v="46"/>
    <n v="0.53535353535353536"/>
    <x v="0"/>
  </r>
  <r>
    <n v="62510014"/>
    <n v="217802"/>
    <s v="Rizk"/>
    <s v="Mouheb Sadek Rizk"/>
    <s v="Shehate"/>
    <s v="Mount Lebanon"/>
    <x v="2"/>
    <x v="0"/>
    <x v="22"/>
    <x v="22"/>
    <x v="1"/>
    <n v="96181729428"/>
    <s v="Spring  2024 - 2025"/>
    <n v="99"/>
    <n v="18"/>
    <n v="13"/>
    <n v="72"/>
    <n v="0.31313131313131315"/>
    <x v="1"/>
  </r>
  <r>
    <n v="62610025"/>
    <n v="227388"/>
    <s v="Roberto"/>
    <s v="Robert"/>
    <s v="Rbeiz"/>
    <s v="Mount Lebanon"/>
    <x v="2"/>
    <x v="0"/>
    <x v="11"/>
    <x v="11"/>
    <x v="1"/>
    <n v="96176139939"/>
    <s v="Spring  2025 - 2026"/>
    <n v="99"/>
    <n v="0"/>
    <n v="12"/>
    <n v="96"/>
    <n v="0.12121212121212122"/>
    <x v="1"/>
  </r>
  <r>
    <n v="62130163"/>
    <n v="168621"/>
    <s v="Rodolph"/>
    <s v="Jean"/>
    <s v="Nakhle"/>
    <s v="Mount Lebanon"/>
    <x v="2"/>
    <x v="0"/>
    <x v="7"/>
    <x v="7"/>
    <x v="1"/>
    <n v="71643312"/>
    <s v="Fall  2021 - 2022"/>
    <n v="99"/>
    <n v="84"/>
    <n v="15"/>
    <n v="0"/>
    <n v="1"/>
    <x v="0"/>
  </r>
  <r>
    <n v="62610031"/>
    <n v="227726"/>
    <s v="Rodrigue"/>
    <s v="Youssef"/>
    <s v="Geagea"/>
    <s v="Mount Lebanon"/>
    <x v="2"/>
    <x v="0"/>
    <x v="11"/>
    <x v="11"/>
    <x v="1"/>
    <n v="96171660417"/>
    <s v="Spring  2025 - 2026"/>
    <n v="99"/>
    <n v="9"/>
    <n v="12"/>
    <n v="78"/>
    <n v="0.21212121212121213"/>
    <x v="1"/>
  </r>
  <r>
    <n v="62230384"/>
    <n v="218091"/>
    <s v="Roni"/>
    <s v="Hassan"/>
    <s v="Anbar"/>
    <s v="Mount Lebanon"/>
    <x v="0"/>
    <x v="0"/>
    <x v="57"/>
    <x v="57"/>
    <x v="0"/>
    <n v="96171223239"/>
    <s v="Spring  2024 - 2025"/>
    <n v="108"/>
    <n v="43"/>
    <n v="13"/>
    <n v="52"/>
    <n v="0.51851851851851849"/>
    <x v="0"/>
  </r>
  <r>
    <n v="62030403"/>
    <n v="163079"/>
    <s v="Rony"/>
    <s v="Raymond"/>
    <s v="Abi Abdallah"/>
    <s v="Mount Lebanon"/>
    <x v="2"/>
    <x v="0"/>
    <x v="6"/>
    <x v="6"/>
    <x v="1"/>
    <n v="70312413"/>
    <s v="Fall  2020 - 2021"/>
    <n v="99"/>
    <n v="72"/>
    <n v="9"/>
    <n v="18"/>
    <n v="0.81818181818181823"/>
    <x v="0"/>
  </r>
  <r>
    <n v="62330115"/>
    <n v="199889"/>
    <s v="Rouba"/>
    <s v="Samir"/>
    <s v="Amhaz"/>
    <s v="Mount Lebanon"/>
    <x v="1"/>
    <x v="0"/>
    <x v="14"/>
    <x v="14"/>
    <x v="2"/>
    <n v="76548655"/>
    <s v="Fall  2023 - 2024"/>
    <n v="105"/>
    <n v="64"/>
    <n v="15"/>
    <n v="26"/>
    <n v="0.75238095238095237"/>
    <x v="0"/>
  </r>
  <r>
    <n v="62330223"/>
    <n v="203662"/>
    <s v="Roudi"/>
    <s v="Marten"/>
    <s v="Jhjh"/>
    <s v="Mount Lebanon"/>
    <x v="2"/>
    <x v="0"/>
    <x v="17"/>
    <x v="17"/>
    <x v="2"/>
    <n v="96181845142"/>
    <s v="Fall  2023 - 2024"/>
    <n v="99"/>
    <n v="69"/>
    <n v="15"/>
    <n v="15"/>
    <n v="0.84848484848484851"/>
    <x v="0"/>
  </r>
  <r>
    <n v="61730111"/>
    <n v="117653"/>
    <s v="Roudy"/>
    <s v="Roger"/>
    <s v="Bou Assi"/>
    <s v="Mount Lebanon"/>
    <x v="0"/>
    <x v="0"/>
    <x v="1"/>
    <x v="1"/>
    <x v="0"/>
    <n v="96171707749"/>
    <s v="Fall  2017 - 2018"/>
    <n v="108"/>
    <n v="96"/>
    <n v="12"/>
    <n v="0"/>
    <n v="1"/>
    <x v="0"/>
  </r>
  <r>
    <n v="62330245"/>
    <n v="203619"/>
    <s v="Roudy"/>
    <s v="Elie"/>
    <s v="Sarkissian"/>
    <s v="Mount Lebanon"/>
    <x v="2"/>
    <x v="0"/>
    <x v="7"/>
    <x v="7"/>
    <x v="1"/>
    <n v="71083713"/>
    <s v="Fall  2023 - 2024"/>
    <n v="99"/>
    <n v="90"/>
    <n v="9"/>
    <n v="0"/>
    <n v="1"/>
    <x v="0"/>
  </r>
  <r>
    <n v="62230185"/>
    <n v="188712"/>
    <s v="Roudyne"/>
    <s v="Ahmad"/>
    <s v="Cheikho"/>
    <s v="Mount Lebanon"/>
    <x v="0"/>
    <x v="0"/>
    <x v="1"/>
    <x v="1"/>
    <x v="0"/>
    <n v="81349033"/>
    <s v="Fall  2022 - 2023"/>
    <n v="108"/>
    <n v="91"/>
    <n v="17"/>
    <n v="0"/>
    <n v="1"/>
    <x v="0"/>
  </r>
  <r>
    <n v="62230405"/>
    <n v="193847"/>
    <s v="Roukoz"/>
    <s v="Melhem"/>
    <s v="Abou Haidar"/>
    <s v="Mount Lebanon"/>
    <x v="2"/>
    <x v="0"/>
    <x v="3"/>
    <x v="3"/>
    <x v="1"/>
    <n v="81298769"/>
    <s v="Fall  2022 - 2023"/>
    <n v="99"/>
    <n v="69"/>
    <n v="15"/>
    <n v="15"/>
    <n v="0.84848484848484851"/>
    <x v="0"/>
  </r>
  <r>
    <n v="62430012"/>
    <n v="209302"/>
    <s v="Roupina"/>
    <s v="Shady"/>
    <s v="Allous"/>
    <s v="Mount Lebanon"/>
    <x v="1"/>
    <x v="0"/>
    <x v="5"/>
    <x v="5"/>
    <x v="1"/>
    <n v="96181758870"/>
    <s v="Fall  2024 - 2025"/>
    <n v="100"/>
    <n v="47"/>
    <n v="18"/>
    <n v="35"/>
    <n v="0.65"/>
    <x v="0"/>
  </r>
  <r>
    <n v="62230211"/>
    <n v="188619"/>
    <s v="Roy"/>
    <s v="Marwan"/>
    <s v="Berro"/>
    <s v="Mount Lebanon"/>
    <x v="2"/>
    <x v="0"/>
    <x v="17"/>
    <x v="17"/>
    <x v="2"/>
    <n v="81422710"/>
    <s v="Fall  2022 - 2023"/>
    <n v="99"/>
    <n v="78"/>
    <n v="21"/>
    <n v="0"/>
    <n v="1"/>
    <x v="0"/>
  </r>
  <r>
    <n v="62430025"/>
    <n v="226885"/>
    <s v="Roy"/>
    <s v="Fady"/>
    <s v="Chmayssani"/>
    <s v="Mount Lebanon"/>
    <x v="1"/>
    <x v="0"/>
    <x v="26"/>
    <x v="26"/>
    <x v="1"/>
    <n v="9613729923"/>
    <s v="Fall  2025 - 2026"/>
    <n v="99"/>
    <n v="15"/>
    <n v="15"/>
    <n v="3"/>
    <n v="0.30303030303030304"/>
    <x v="1"/>
  </r>
  <r>
    <n v="62530215"/>
    <n v="224007"/>
    <s v="Roy"/>
    <s v="Costantine"/>
    <s v="Costantine"/>
    <s v="Mount Lebanon"/>
    <x v="2"/>
    <x v="0"/>
    <x v="11"/>
    <x v="11"/>
    <x v="1"/>
    <n v="96181737237"/>
    <s v="Fall  2025 - 2026"/>
    <n v="99"/>
    <n v="0"/>
    <n v="12"/>
    <n v="96"/>
    <n v="0.12121212121212122"/>
    <x v="1"/>
  </r>
  <r>
    <n v="62030346"/>
    <n v="159836"/>
    <s v="Roy"/>
    <s v="Elie"/>
    <s v="Karam"/>
    <s v="Mount Lebanon"/>
    <x v="0"/>
    <x v="0"/>
    <x v="1"/>
    <x v="1"/>
    <x v="0"/>
    <n v="71025340"/>
    <s v="Fall  2020 - 2021"/>
    <n v="108"/>
    <n v="72"/>
    <n v="8"/>
    <n v="28"/>
    <n v="0.7407407407407407"/>
    <x v="0"/>
  </r>
  <r>
    <n v="61930331"/>
    <n v="146183"/>
    <s v="Roy"/>
    <s v="Dib"/>
    <s v="Nakhleh"/>
    <s v="Mount Lebanon"/>
    <x v="2"/>
    <x v="0"/>
    <x v="10"/>
    <x v="10"/>
    <x v="1"/>
    <n v="96176797391"/>
    <s v="Fall  2019 - 2020"/>
    <n v="99"/>
    <n v="15"/>
    <n v="9"/>
    <n v="75"/>
    <n v="0.24242424242424243"/>
    <x v="1"/>
  </r>
  <r>
    <n v="62230036"/>
    <n v="186429"/>
    <s v="Roy"/>
    <s v="Francois"/>
    <s v="Richa"/>
    <s v="Mount Lebanon"/>
    <x v="0"/>
    <x v="0"/>
    <x v="1"/>
    <x v="1"/>
    <x v="0"/>
    <n v="96176083773"/>
    <s v="Fall  2022 - 2023"/>
    <n v="108"/>
    <n v="91"/>
    <n v="17"/>
    <n v="0"/>
    <n v="1"/>
    <x v="0"/>
  </r>
  <r>
    <n v="62430276"/>
    <n v="215545"/>
    <s v="Roy"/>
    <s v="Georges"/>
    <s v="Tawk"/>
    <s v="Mount Lebanon"/>
    <x v="1"/>
    <x v="0"/>
    <x v="5"/>
    <x v="5"/>
    <x v="1"/>
    <n v="76177768"/>
    <s v="Fall  2024 - 2025"/>
    <n v="100"/>
    <n v="84"/>
    <n v="10"/>
    <n v="6"/>
    <n v="0.94"/>
    <x v="0"/>
  </r>
  <r>
    <n v="62330067"/>
    <n v="198974"/>
    <s v="Roy"/>
    <s v="Ghassan"/>
    <s v="Zreik"/>
    <s v="Mount Lebanon"/>
    <x v="2"/>
    <x v="0"/>
    <x v="17"/>
    <x v="17"/>
    <x v="2"/>
    <n v="71995535"/>
    <s v="Fall  2023 - 2024"/>
    <n v="99"/>
    <n v="72"/>
    <n v="12"/>
    <n v="15"/>
    <n v="0.84848484848484851"/>
    <x v="0"/>
  </r>
  <r>
    <n v="62330065"/>
    <n v="198968"/>
    <s v="Ruby"/>
    <s v="Andraos"/>
    <s v="El Skaf"/>
    <s v="Mount Lebanon"/>
    <x v="2"/>
    <x v="0"/>
    <x v="6"/>
    <x v="6"/>
    <x v="1"/>
    <n v="76540352"/>
    <s v="Fall  2023 - 2024"/>
    <n v="99"/>
    <n v="57"/>
    <n v="18"/>
    <n v="24"/>
    <n v="0.75757575757575757"/>
    <x v="0"/>
  </r>
  <r>
    <n v="62430089"/>
    <n v="210058"/>
    <s v="Rudy"/>
    <s v="Tony"/>
    <s v="Rahme"/>
    <s v="Mount Lebanon"/>
    <x v="2"/>
    <x v="0"/>
    <x v="10"/>
    <x v="10"/>
    <x v="1"/>
    <n v="71075334"/>
    <s v="Fall  2024 - 2025"/>
    <n v="99"/>
    <n v="27"/>
    <n v="12"/>
    <n v="60"/>
    <n v="0.39393939393939392"/>
    <x v="1"/>
  </r>
  <r>
    <n v="62230152"/>
    <n v="186435"/>
    <s v="Ruweida"/>
    <s v="Abbas"/>
    <s v="Albraidi"/>
    <s v="Mount Lebanon"/>
    <x v="2"/>
    <x v="0"/>
    <x v="7"/>
    <x v="7"/>
    <x v="1"/>
    <n v="76591109"/>
    <s v="Fall  2022 - 2023"/>
    <n v="99"/>
    <n v="84"/>
    <n v="15"/>
    <n v="0"/>
    <n v="1"/>
    <x v="0"/>
  </r>
  <r>
    <n v="62530156"/>
    <n v="224502"/>
    <s v="Ryan"/>
    <s v="Eid"/>
    <s v="El Dib"/>
    <s v="Mount Lebanon"/>
    <x v="1"/>
    <x v="0"/>
    <x v="35"/>
    <x v="35"/>
    <x v="1"/>
    <n v="96171615165"/>
    <s v="Fall  2025 - 2026"/>
    <n v="99"/>
    <n v="12"/>
    <n v="16"/>
    <n v="72"/>
    <n v="0.28282828282828282"/>
    <x v="1"/>
  </r>
  <r>
    <n v="62210032"/>
    <n v="182036"/>
    <s v="Sabine"/>
    <s v="Kamil"/>
    <s v="Nohra"/>
    <s v="Mount Lebanon"/>
    <x v="1"/>
    <x v="0"/>
    <x v="50"/>
    <x v="50"/>
    <x v="2"/>
    <n v="96171947278"/>
    <s v="Spring  2021 - 2022"/>
    <n v="99"/>
    <n v="30"/>
    <n v="10"/>
    <n v="59"/>
    <n v="0.40404040404040403"/>
    <x v="1"/>
  </r>
  <r>
    <n v="62410026"/>
    <n v="207965"/>
    <s v="Sabrine"/>
    <s v="Farouk"/>
    <s v="Al Hor"/>
    <s v="Mount Lebanon"/>
    <x v="1"/>
    <x v="0"/>
    <x v="8"/>
    <x v="8"/>
    <x v="2"/>
    <n v="96170831784"/>
    <s v="Spring  2023 - 2024"/>
    <n v="99"/>
    <n v="46"/>
    <n v="18"/>
    <n v="35"/>
    <n v="0.64646464646464652"/>
    <x v="0"/>
  </r>
  <r>
    <n v="62330291"/>
    <n v="205813"/>
    <s v="Sacha"/>
    <s v="Adel"/>
    <s v="Nasrallah"/>
    <s v="Mount Lebanon"/>
    <x v="1"/>
    <x v="0"/>
    <x v="38"/>
    <x v="38"/>
    <x v="1"/>
    <n v="71833483"/>
    <s v="Fall  2023 - 2024"/>
    <n v="108"/>
    <n v="90"/>
    <n v="9"/>
    <n v="9"/>
    <n v="0.91666666666666663"/>
    <x v="0"/>
  </r>
  <r>
    <n v="62430266"/>
    <n v="215053"/>
    <s v="Safi"/>
    <s v="Mohsen"/>
    <s v="Al Zein"/>
    <s v="Mount Lebanon"/>
    <x v="2"/>
    <x v="0"/>
    <x v="7"/>
    <x v="7"/>
    <x v="1"/>
    <n v="81475769"/>
    <s v="Fall  2024 - 2025"/>
    <n v="99"/>
    <n v="33"/>
    <n v="15"/>
    <n v="51"/>
    <n v="0.48484848484848486"/>
    <x v="1"/>
  </r>
  <r>
    <n v="62530185"/>
    <n v="223912"/>
    <s v="Salwa"/>
    <s v="Mustafa"/>
    <s v="Sheikh Hasan"/>
    <s v="Mount Lebanon"/>
    <x v="1"/>
    <x v="0"/>
    <x v="23"/>
    <x v="23"/>
    <x v="2"/>
    <n v="96176756280"/>
    <s v="Fall  2025 - 2026"/>
    <n v="99"/>
    <n v="13"/>
    <n v="17"/>
    <n v="69"/>
    <n v="0.30303030303030304"/>
    <x v="1"/>
  </r>
  <r>
    <n v="62330296"/>
    <n v="205247"/>
    <s v="Samah"/>
    <s v="Achraf"/>
    <s v="Ibrahim"/>
    <s v="Mount Lebanon"/>
    <x v="2"/>
    <x v="0"/>
    <x v="9"/>
    <x v="9"/>
    <x v="1"/>
    <n v="70573906"/>
    <s v="Fall  2023 - 2024"/>
    <n v="99"/>
    <n v="45"/>
    <n v="18"/>
    <n v="36"/>
    <n v="0.63636363636363635"/>
    <x v="0"/>
  </r>
  <r>
    <n v="62530180"/>
    <n v="223885"/>
    <s v="Samar"/>
    <s v="Elie"/>
    <s v="Koborsy"/>
    <s v="Mount Lebanon"/>
    <x v="1"/>
    <x v="0"/>
    <x v="26"/>
    <x v="26"/>
    <x v="1"/>
    <n v="96170932631"/>
    <s v="Fall  2025 - 2026"/>
    <n v="99"/>
    <n v="3"/>
    <n v="12"/>
    <n v="84"/>
    <n v="0.15151515151515152"/>
    <x v="1"/>
  </r>
  <r>
    <n v="62230128"/>
    <n v="188693"/>
    <s v="Samer"/>
    <s v="Mehdi"/>
    <s v="Ayoub"/>
    <s v="Mount Lebanon"/>
    <x v="1"/>
    <x v="0"/>
    <x v="14"/>
    <x v="14"/>
    <x v="2"/>
    <n v="96181651394"/>
    <s v="Fall  2022 - 2023"/>
    <n v="105"/>
    <n v="62"/>
    <n v="13"/>
    <n v="30"/>
    <n v="0.7142857142857143"/>
    <x v="0"/>
  </r>
  <r>
    <n v="62530172"/>
    <n v="222917"/>
    <s v="Samer"/>
    <s v="Abbas"/>
    <s v="Cheaito"/>
    <s v="Mount Lebanon"/>
    <x v="2"/>
    <x v="0"/>
    <x v="9"/>
    <x v="9"/>
    <x v="1"/>
    <n v="9613894562"/>
    <s v="Fall  2025 - 2026"/>
    <n v="99"/>
    <n v="3"/>
    <n v="16"/>
    <n v="84"/>
    <n v="0.19191919191919191"/>
    <x v="1"/>
  </r>
  <r>
    <n v="62230393"/>
    <n v="194145"/>
    <s v="Sandra"/>
    <s v="Samir"/>
    <s v="Abou Haidar"/>
    <s v="Mount Lebanon"/>
    <x v="1"/>
    <x v="0"/>
    <x v="24"/>
    <x v="24"/>
    <x v="1"/>
    <n v="96181915348"/>
    <s v="Fall  2022 - 2023"/>
    <n v="108"/>
    <n v="60"/>
    <n v="18"/>
    <n v="30"/>
    <n v="0.72222222222222221"/>
    <x v="0"/>
  </r>
  <r>
    <n v="62430139"/>
    <n v="210635"/>
    <s v="Sandra"/>
    <s v="Mazhar"/>
    <s v="Al Abed"/>
    <s v="Mount Lebanon"/>
    <x v="1"/>
    <x v="0"/>
    <x v="15"/>
    <x v="15"/>
    <x v="1"/>
    <n v="9613917698"/>
    <s v="Fall  2024 - 2025"/>
    <n v="99"/>
    <n v="21"/>
    <n v="12"/>
    <n v="66"/>
    <n v="0.33333333333333331"/>
    <x v="1"/>
  </r>
  <r>
    <n v="62210005"/>
    <n v="182381"/>
    <s v="Sandy"/>
    <s v="Moujahed"/>
    <s v="El Sayed"/>
    <s v="Mount Lebanon"/>
    <x v="1"/>
    <x v="0"/>
    <x v="36"/>
    <x v="36"/>
    <x v="1"/>
    <n v="9613739418"/>
    <s v="Spring  2021 - 2022"/>
    <n v="108"/>
    <n v="102"/>
    <n v="6"/>
    <n v="0"/>
    <n v="1"/>
    <x v="0"/>
  </r>
  <r>
    <n v="62530017"/>
    <n v="219160"/>
    <s v="Sandy"/>
    <s v="Mayad"/>
    <s v="Obeid"/>
    <s v="Mount Lebanon"/>
    <x v="1"/>
    <x v="0"/>
    <x v="4"/>
    <x v="4"/>
    <x v="2"/>
    <n v="81525568"/>
    <s v="Fall  2025 - 2026"/>
    <n v="105"/>
    <n v="6"/>
    <n v="10"/>
    <n v="103"/>
    <n v="0.15238095238095239"/>
    <x v="1"/>
  </r>
  <r>
    <n v="62430150"/>
    <n v="211481"/>
    <s v="Sandy Christy"/>
    <s v="Tanios"/>
    <s v="El Helou"/>
    <s v="Mount Lebanon"/>
    <x v="1"/>
    <x v="0"/>
    <x v="34"/>
    <x v="34"/>
    <x v="1"/>
    <n v="76377534"/>
    <s v="Fall  2024 - 2025"/>
    <n v="108"/>
    <n v="24"/>
    <n v="18"/>
    <n v="66"/>
    <n v="0.3888888888888889"/>
    <x v="1"/>
  </r>
  <r>
    <n v="62330267"/>
    <n v="204221"/>
    <s v="Sara"/>
    <s v="Habib"/>
    <s v="Arabian"/>
    <s v="Mount Lebanon"/>
    <x v="1"/>
    <x v="0"/>
    <x v="14"/>
    <x v="14"/>
    <x v="2"/>
    <n v="96176823344"/>
    <s v="Fall  2023 - 2024"/>
    <n v="105"/>
    <n v="73"/>
    <n v="15"/>
    <n v="17"/>
    <n v="0.83809523809523812"/>
    <x v="0"/>
  </r>
  <r>
    <n v="62430036"/>
    <n v="209473"/>
    <s v="Sara"/>
    <s v="Nasim"/>
    <s v="Youssef"/>
    <s v="Mount Lebanon"/>
    <x v="1"/>
    <x v="0"/>
    <x v="2"/>
    <x v="2"/>
    <x v="1"/>
    <n v="71760381"/>
    <s v="Fall  2024 - 2025"/>
    <n v="99"/>
    <n v="43"/>
    <n v="16"/>
    <n v="40"/>
    <n v="0.59595959595959591"/>
    <x v="0"/>
  </r>
  <r>
    <n v="62530273"/>
    <n v="226462"/>
    <s v="Sarah"/>
    <s v="Chekri"/>
    <s v="Al Attal"/>
    <s v="Mount Lebanon"/>
    <x v="1"/>
    <x v="0"/>
    <x v="4"/>
    <x v="4"/>
    <x v="2"/>
    <n v="96181606670"/>
    <s v="Fall  2025 - 2026"/>
    <n v="105"/>
    <n v="12"/>
    <n v="17"/>
    <n v="76"/>
    <n v="0.27619047619047621"/>
    <x v="1"/>
  </r>
  <r>
    <n v="62510011"/>
    <n v="217800"/>
    <s v="Sarah"/>
    <s v="Ahmad"/>
    <s v="El Shabib"/>
    <s v="Mount Lebanon"/>
    <x v="2"/>
    <x v="0"/>
    <x v="9"/>
    <x v="9"/>
    <x v="1"/>
    <n v="81369484"/>
    <s v="Spring  2024 - 2025"/>
    <n v="99"/>
    <n v="15"/>
    <n v="18"/>
    <n v="66"/>
    <n v="0.33333333333333331"/>
    <x v="1"/>
  </r>
  <r>
    <n v="62530035"/>
    <n v="222153"/>
    <s v="Sarah"/>
    <s v="Samir"/>
    <s v="Zammar"/>
    <s v="Mount Lebanon"/>
    <x v="2"/>
    <x v="0"/>
    <x v="42"/>
    <x v="42"/>
    <x v="1"/>
    <n v="71621736"/>
    <s v="Fall  2025 - 2026"/>
    <n v="99"/>
    <n v="0"/>
    <n v="13"/>
    <n v="94"/>
    <n v="0.13131313131313133"/>
    <x v="1"/>
  </r>
  <r>
    <n v="62510001"/>
    <n v="217794"/>
    <s v="Sarine"/>
    <s v="Apraham"/>
    <s v="Demirgian"/>
    <s v="Mount Lebanon"/>
    <x v="4"/>
    <x v="0"/>
    <x v="58"/>
    <x v="58"/>
    <x v="1"/>
    <n v="70552356"/>
    <s v="Spring  2024 - 2025"/>
    <n v="99"/>
    <n v="21"/>
    <n v="12"/>
    <n v="66"/>
    <n v="0.33333333333333331"/>
    <x v="1"/>
  </r>
  <r>
    <n v="62330087"/>
    <n v="199060"/>
    <s v="Sarine"/>
    <s v="Ohaness"/>
    <s v="Kurkdjian"/>
    <s v="Mount Lebanon"/>
    <x v="1"/>
    <x v="0"/>
    <x v="14"/>
    <x v="14"/>
    <x v="2"/>
    <n v="81394811"/>
    <s v="Fall  2023 - 2024"/>
    <n v="105"/>
    <n v="56"/>
    <n v="15"/>
    <n v="34"/>
    <n v="0.67619047619047623"/>
    <x v="0"/>
  </r>
  <r>
    <n v="62530111"/>
    <n v="220497"/>
    <s v="Sarkis"/>
    <s v="Nerses"/>
    <s v="Tashdjian"/>
    <s v="Mount Lebanon"/>
    <x v="1"/>
    <x v="0"/>
    <x v="35"/>
    <x v="35"/>
    <x v="1"/>
    <n v="76394086"/>
    <s v="Fall  2025 - 2026"/>
    <n v="99"/>
    <n v="6"/>
    <n v="15"/>
    <n v="79"/>
    <n v="0.21212121212121213"/>
    <x v="1"/>
  </r>
  <r>
    <n v="62330312"/>
    <n v="205852"/>
    <s v="Sayde"/>
    <s v="Milad"/>
    <s v="Madi"/>
    <s v="Mount Lebanon"/>
    <x v="2"/>
    <x v="0"/>
    <x v="6"/>
    <x v="6"/>
    <x v="1"/>
    <n v="76445265"/>
    <s v="Fall  2023 - 2024"/>
    <n v="99"/>
    <n v="57"/>
    <n v="18"/>
    <n v="24"/>
    <n v="0.75757575757575757"/>
    <x v="0"/>
  </r>
  <r>
    <n v="62230179"/>
    <n v="188717"/>
    <s v="Sayde Carmel"/>
    <s v="Chadi"/>
    <s v="Youssef"/>
    <s v="Mount Lebanon"/>
    <x v="1"/>
    <x v="0"/>
    <x v="15"/>
    <x v="15"/>
    <x v="1"/>
    <n v="96171342017"/>
    <s v="Fall  2022 - 2023"/>
    <n v="99"/>
    <n v="55"/>
    <n v="10"/>
    <n v="34"/>
    <n v="0.65656565656565657"/>
    <x v="0"/>
  </r>
  <r>
    <n v="62610020"/>
    <n v="227394"/>
    <s v="Seana"/>
    <s v="Aziz"/>
    <s v="Nohra"/>
    <s v="Mount Lebanon"/>
    <x v="2"/>
    <x v="0"/>
    <x v="22"/>
    <x v="22"/>
    <x v="1"/>
    <n v="96170813757"/>
    <s v="Spring  2025 - 2026"/>
    <n v="99"/>
    <n v="6"/>
    <n v="12"/>
    <n v="81"/>
    <n v="0.18181818181818182"/>
    <x v="1"/>
  </r>
  <r>
    <n v="62430202"/>
    <n v="213479"/>
    <s v="Sedra"/>
    <s v="Yousef"/>
    <s v="Alsaadi"/>
    <s v="Mount Lebanon"/>
    <x v="0"/>
    <x v="0"/>
    <x v="25"/>
    <x v="25"/>
    <x v="2"/>
    <n v="81482503"/>
    <s v="Fall  2024 - 2025"/>
    <n v="114"/>
    <n v="38"/>
    <n v="12"/>
    <n v="58"/>
    <n v="0.43859649122807015"/>
    <x v="1"/>
  </r>
  <r>
    <n v="62230215"/>
    <n v="188603"/>
    <s v="Selena"/>
    <s v="Hanna"/>
    <s v="Al Rawady"/>
    <s v="Mount Lebanon"/>
    <x v="2"/>
    <x v="0"/>
    <x v="7"/>
    <x v="7"/>
    <x v="1"/>
    <n v="96171543458"/>
    <s v="Fall  2022 - 2023"/>
    <n v="99"/>
    <n v="69"/>
    <n v="12"/>
    <n v="18"/>
    <n v="0.81818181818181823"/>
    <x v="0"/>
  </r>
  <r>
    <n v="62530083"/>
    <n v="220540"/>
    <s v="Sella"/>
    <s v="Sako"/>
    <s v="Kazangian"/>
    <s v="Mount Lebanon"/>
    <x v="2"/>
    <x v="0"/>
    <x v="22"/>
    <x v="22"/>
    <x v="1"/>
    <n v="81593211"/>
    <s v="Fall  2025 - 2026"/>
    <n v="99"/>
    <n v="15"/>
    <n v="12"/>
    <n v="72"/>
    <n v="0.27272727272727271"/>
    <x v="1"/>
  </r>
  <r>
    <n v="62610004"/>
    <n v="227141"/>
    <s v="Sella Berjouk"/>
    <s v="Krikor"/>
    <s v="Basmajian"/>
    <s v="Mount Lebanon"/>
    <x v="2"/>
    <x v="0"/>
    <x v="33"/>
    <x v="33"/>
    <x v="1"/>
    <n v="96170486780"/>
    <s v="Spring  2025 - 2026"/>
    <n v="99"/>
    <n v="0"/>
    <n v="15"/>
    <n v="84"/>
    <n v="0.15151515151515152"/>
    <x v="1"/>
  </r>
  <r>
    <n v="62430126"/>
    <n v="210606"/>
    <s v="Selly"/>
    <s v="Hovig"/>
    <s v="Tchaparian"/>
    <s v="Mount Lebanon"/>
    <x v="1"/>
    <x v="0"/>
    <x v="38"/>
    <x v="38"/>
    <x v="1"/>
    <n v="81288500"/>
    <s v="Fall  2024 - 2025"/>
    <n v="108"/>
    <n v="42"/>
    <n v="18"/>
    <n v="48"/>
    <n v="0.55555555555555558"/>
    <x v="0"/>
  </r>
  <r>
    <n v="62530152"/>
    <n v="222182"/>
    <s v="Sentia"/>
    <s v="Kevork"/>
    <s v="Kachichian"/>
    <s v="Mount Lebanon"/>
    <x v="1"/>
    <x v="0"/>
    <x v="48"/>
    <x v="48"/>
    <x v="1"/>
    <n v="71007224"/>
    <s v="Fall  2025 - 2026"/>
    <n v="108"/>
    <n v="12"/>
    <n v="18"/>
    <n v="78"/>
    <n v="0.27777777777777779"/>
    <x v="1"/>
  </r>
  <r>
    <n v="62120011"/>
    <n v="166279"/>
    <s v="Seraj"/>
    <s v="Issam"/>
    <s v="Madi"/>
    <s v="Mount Lebanon"/>
    <x v="2"/>
    <x v="0"/>
    <x v="17"/>
    <x v="17"/>
    <x v="2"/>
    <n v="96181076731"/>
    <s v="Summer  2020 - 2021"/>
    <n v="99"/>
    <n v="78"/>
    <n v="21"/>
    <n v="0"/>
    <n v="1"/>
    <x v="0"/>
  </r>
  <r>
    <n v="62530266"/>
    <n v="226128"/>
    <s v="Serena"/>
    <s v="Maroun"/>
    <s v="Abou Nasser"/>
    <s v="Mount Lebanon"/>
    <x v="4"/>
    <x v="0"/>
    <x v="37"/>
    <x v="37"/>
    <x v="1"/>
    <n v="96171482360"/>
    <s v="Fall  2025 - 2026"/>
    <n v="99"/>
    <n v="6"/>
    <n v="12"/>
    <n v="81"/>
    <n v="0.18181818181818182"/>
    <x v="1"/>
  </r>
  <r>
    <n v="62430199"/>
    <n v="212233"/>
    <s v="Serena"/>
    <s v="Walid"/>
    <s v="Rahy"/>
    <s v="Mount Lebanon"/>
    <x v="1"/>
    <x v="0"/>
    <x v="23"/>
    <x v="23"/>
    <x v="2"/>
    <n v="81512065"/>
    <s v="Fall  2024 - 2025"/>
    <n v="99"/>
    <n v="19"/>
    <n v="11"/>
    <n v="69"/>
    <n v="0.30303030303030304"/>
    <x v="1"/>
  </r>
  <r>
    <n v="61930325"/>
    <n v="147999"/>
    <s v="Serge"/>
    <s v="Jean"/>
    <s v="Al Feghali"/>
    <s v="Mount Lebanon"/>
    <x v="2"/>
    <x v="0"/>
    <x v="7"/>
    <x v="7"/>
    <x v="1"/>
    <n v="81458230"/>
    <s v="Fall  2019 - 2020"/>
    <n v="99"/>
    <n v="84"/>
    <n v="9"/>
    <n v="6"/>
    <n v="0.93939393939393945"/>
    <x v="0"/>
  </r>
  <r>
    <n v="62430200"/>
    <n v="213301"/>
    <s v="Serge"/>
    <s v="Dani"/>
    <s v="Dib"/>
    <s v="Mount Lebanon"/>
    <x v="2"/>
    <x v="0"/>
    <x v="10"/>
    <x v="10"/>
    <x v="1"/>
    <n v="76373579"/>
    <s v="Fall  2024 - 2025"/>
    <n v="99"/>
    <n v="30"/>
    <n v="15"/>
    <n v="54"/>
    <n v="0.45454545454545453"/>
    <x v="1"/>
  </r>
  <r>
    <n v="62530194"/>
    <n v="223906"/>
    <s v="Serge"/>
    <s v="Sarkis"/>
    <s v="Jederian"/>
    <s v="Mount Lebanon"/>
    <x v="2"/>
    <x v="0"/>
    <x v="9"/>
    <x v="9"/>
    <x v="1"/>
    <n v="96170717369"/>
    <s v="Fall  2025 - 2026"/>
    <n v="99"/>
    <n v="18"/>
    <n v="15"/>
    <n v="66"/>
    <n v="0.33333333333333331"/>
    <x v="1"/>
  </r>
  <r>
    <n v="62610023"/>
    <n v="227598"/>
    <s v="Serge"/>
    <s v="Hrayr"/>
    <s v="Joumjian"/>
    <s v="Mount Lebanon"/>
    <x v="2"/>
    <x v="0"/>
    <x v="11"/>
    <x v="11"/>
    <x v="1"/>
    <n v="96181967797"/>
    <s v="Spring  2025 - 2026"/>
    <n v="99"/>
    <n v="3"/>
    <n v="9"/>
    <n v="96"/>
    <n v="0.12121212121212122"/>
    <x v="1"/>
  </r>
  <r>
    <n v="62330130"/>
    <n v="199821"/>
    <s v="Serge"/>
    <s v="Raffy"/>
    <s v="Saboundjian"/>
    <s v="Mount Lebanon"/>
    <x v="1"/>
    <x v="0"/>
    <x v="2"/>
    <x v="2"/>
    <x v="1"/>
    <n v="96181685621"/>
    <s v="Fall  2023 - 2024"/>
    <n v="99"/>
    <n v="42"/>
    <n v="12"/>
    <n v="45"/>
    <n v="0.54545454545454541"/>
    <x v="0"/>
  </r>
  <r>
    <n v="62330208"/>
    <n v="202626"/>
    <s v="Sergio"/>
    <s v="Vatche"/>
    <s v="Sarkissian"/>
    <s v="Mount Lebanon"/>
    <x v="2"/>
    <x v="0"/>
    <x v="6"/>
    <x v="6"/>
    <x v="1"/>
    <n v="96176058236"/>
    <s v="Fall  2023 - 2024"/>
    <n v="99"/>
    <n v="51"/>
    <n v="18"/>
    <n v="30"/>
    <n v="0.69696969696969702"/>
    <x v="0"/>
  </r>
  <r>
    <n v="62430100"/>
    <n v="210030"/>
    <s v="Serine"/>
    <s v="Kamal"/>
    <s v="Al Oraiby"/>
    <s v="Mount Lebanon"/>
    <x v="1"/>
    <x v="0"/>
    <x v="2"/>
    <x v="2"/>
    <x v="1"/>
    <n v="70134887"/>
    <s v="Fall  2024 - 2025"/>
    <n v="99"/>
    <n v="37"/>
    <n v="13"/>
    <n v="49"/>
    <n v="0.50505050505050508"/>
    <x v="0"/>
  </r>
  <r>
    <n v="62310002"/>
    <n v="196939"/>
    <s v="Serj"/>
    <s v="Jirair"/>
    <s v="Kazezian"/>
    <s v="Mount Lebanon"/>
    <x v="2"/>
    <x v="0"/>
    <x v="10"/>
    <x v="10"/>
    <x v="1"/>
    <n v="71814733"/>
    <s v="Spring  2022 - 2023"/>
    <n v="99"/>
    <n v="45"/>
    <n v="15"/>
    <n v="39"/>
    <n v="0.60606060606060608"/>
    <x v="0"/>
  </r>
  <r>
    <n v="62430290"/>
    <n v="215593"/>
    <s v="Serly"/>
    <s v="Hovig"/>
    <s v="Karageozian"/>
    <s v="Mount Lebanon"/>
    <x v="4"/>
    <x v="0"/>
    <x v="37"/>
    <x v="37"/>
    <x v="1"/>
    <n v="96171569912"/>
    <s v="Fall  2024 - 2025"/>
    <n v="99"/>
    <n v="21"/>
    <n v="12"/>
    <n v="66"/>
    <n v="0.33333333333333331"/>
    <x v="1"/>
  </r>
  <r>
    <n v="62410027"/>
    <n v="207963"/>
    <s v="Serly"/>
    <s v="Vatche"/>
    <s v="Keufteyan"/>
    <s v="Mount Lebanon"/>
    <x v="1"/>
    <x v="0"/>
    <x v="15"/>
    <x v="15"/>
    <x v="1"/>
    <n v="76594195"/>
    <s v="Spring  2023 - 2024"/>
    <n v="99"/>
    <n v="43"/>
    <n v="19"/>
    <n v="37"/>
    <n v="0.6262626262626263"/>
    <x v="0"/>
  </r>
  <r>
    <n v="62330037"/>
    <n v="216507"/>
    <s v="Serly"/>
    <s v="Raffi"/>
    <s v="Sabounjian"/>
    <s v="Mount Lebanon"/>
    <x v="1"/>
    <x v="0"/>
    <x v="14"/>
    <x v="14"/>
    <x v="2"/>
    <n v="79132764"/>
    <s v="Fall  2024 - 2025"/>
    <n v="105"/>
    <n v="40"/>
    <n v="11"/>
    <n v="54"/>
    <n v="0.48571428571428571"/>
    <x v="1"/>
  </r>
  <r>
    <n v="62330198"/>
    <n v="202656"/>
    <s v="Sevag"/>
    <s v="Pierre"/>
    <s v="Antarnikian"/>
    <s v="Mount Lebanon"/>
    <x v="1"/>
    <x v="0"/>
    <x v="5"/>
    <x v="5"/>
    <x v="1"/>
    <n v="70469021"/>
    <s v="Fall  2023 - 2024"/>
    <n v="100"/>
    <n v="50"/>
    <n v="9"/>
    <n v="41"/>
    <n v="0.59"/>
    <x v="0"/>
  </r>
  <r>
    <n v="62330093"/>
    <n v="199849"/>
    <s v="Sevag"/>
    <s v="Hagop"/>
    <s v="Chilingirian"/>
    <s v="Mount Lebanon"/>
    <x v="1"/>
    <x v="0"/>
    <x v="48"/>
    <x v="48"/>
    <x v="1"/>
    <n v="96176898769"/>
    <s v="Fall  2023 - 2024"/>
    <n v="108"/>
    <n v="21"/>
    <n v="15"/>
    <n v="72"/>
    <n v="0.33333333333333331"/>
    <x v="1"/>
  </r>
  <r>
    <n v="62330110"/>
    <n v="199865"/>
    <s v="Sevag"/>
    <s v="Hrayr"/>
    <s v="Sarkissian"/>
    <s v="Mount Lebanon"/>
    <x v="2"/>
    <x v="0"/>
    <x v="10"/>
    <x v="10"/>
    <x v="1"/>
    <n v="96170735820"/>
    <s v="Fall  2023 - 2024"/>
    <n v="99"/>
    <n v="72"/>
    <n v="15"/>
    <n v="12"/>
    <n v="0.87878787878787878"/>
    <x v="0"/>
  </r>
  <r>
    <n v="62430323"/>
    <n v="216845"/>
    <s v="Sevag Vahram"/>
    <s v="Hovig"/>
    <s v="Karageuzian"/>
    <s v="Mount Lebanon"/>
    <x v="2"/>
    <x v="0"/>
    <x v="6"/>
    <x v="6"/>
    <x v="1"/>
    <n v="96181226586"/>
    <s v="Fall  2024 - 2025"/>
    <n v="99"/>
    <n v="42"/>
    <n v="15"/>
    <n v="42"/>
    <n v="0.5757575757575758"/>
    <x v="0"/>
  </r>
  <r>
    <n v="62130304"/>
    <n v="173446"/>
    <s v="Shant"/>
    <s v="Hratch"/>
    <s v="Missirian"/>
    <s v="Mount Lebanon"/>
    <x v="1"/>
    <x v="0"/>
    <x v="5"/>
    <x v="5"/>
    <x v="1"/>
    <n v="70508779"/>
    <s v="Fall  2021 - 2022"/>
    <n v="100"/>
    <n v="63"/>
    <n v="6"/>
    <n v="31"/>
    <n v="0.69"/>
    <x v="0"/>
  </r>
  <r>
    <n v="62430040"/>
    <n v="209735"/>
    <s v="Shayla"/>
    <s v="Louis"/>
    <s v="Makhoul"/>
    <s v="Mount Lebanon"/>
    <x v="1"/>
    <x v="0"/>
    <x v="8"/>
    <x v="8"/>
    <x v="2"/>
    <n v="70313381"/>
    <s v="Fall  2024 - 2025"/>
    <n v="99"/>
    <n v="34"/>
    <n v="16"/>
    <n v="49"/>
    <n v="0.50505050505050508"/>
    <x v="0"/>
  </r>
  <r>
    <n v="62530182"/>
    <n v="224192"/>
    <s v="Shelsea"/>
    <s v="Simon"/>
    <s v="Zaklit"/>
    <s v="Mount Lebanon"/>
    <x v="1"/>
    <x v="0"/>
    <x v="54"/>
    <x v="54"/>
    <x v="1"/>
    <n v="96171518473"/>
    <s v="Fall  2025 - 2026"/>
    <n v="108"/>
    <n v="30"/>
    <n v="18"/>
    <n v="60"/>
    <n v="0.44444444444444442"/>
    <x v="1"/>
  </r>
  <r>
    <n v="62130188"/>
    <n v="173427"/>
    <s v="Sibelle"/>
    <s v="Salem"/>
    <s v="Dib"/>
    <s v="Mount Lebanon"/>
    <x v="1"/>
    <x v="0"/>
    <x v="14"/>
    <x v="14"/>
    <x v="2"/>
    <n v="96171567159"/>
    <s v="Fall  2021 - 2022"/>
    <n v="105"/>
    <n v="86"/>
    <n v="13"/>
    <n v="6"/>
    <n v="0.94285714285714284"/>
    <x v="0"/>
  </r>
  <r>
    <n v="62430236"/>
    <n v="214192"/>
    <s v="Sibelle"/>
    <s v="Ramzi"/>
    <s v="Rameh"/>
    <s v="Mount Lebanon"/>
    <x v="1"/>
    <x v="0"/>
    <x v="8"/>
    <x v="8"/>
    <x v="2"/>
    <n v="76480121"/>
    <s v="Fall  2024 - 2025"/>
    <n v="99"/>
    <n v="17"/>
    <n v="16"/>
    <n v="70"/>
    <n v="0.33333333333333331"/>
    <x v="1"/>
  </r>
  <r>
    <n v="62430002"/>
    <n v="212973"/>
    <s v="Sidra"/>
    <s v="Youssef"/>
    <s v="Rachid"/>
    <s v="Mount Lebanon"/>
    <x v="1"/>
    <x v="0"/>
    <x v="14"/>
    <x v="14"/>
    <x v="2"/>
    <n v="76138694"/>
    <s v="Fall  2024 - 2025"/>
    <n v="105"/>
    <n v="20"/>
    <n v="12"/>
    <n v="73"/>
    <n v="0.30476190476190479"/>
    <x v="1"/>
  </r>
  <r>
    <n v="62530170"/>
    <n v="223948"/>
    <s v="Slaybe"/>
    <s v="Rafic"/>
    <s v="Kfoury"/>
    <s v="Mount Lebanon"/>
    <x v="0"/>
    <x v="0"/>
    <x v="18"/>
    <x v="18"/>
    <x v="0"/>
    <n v="70527540"/>
    <s v="Fall  2025 - 2026"/>
    <n v="108"/>
    <n v="21"/>
    <n v="16"/>
    <n v="71"/>
    <n v="0.34259259259259262"/>
    <x v="1"/>
  </r>
  <r>
    <n v="62530002"/>
    <n v="221975"/>
    <s v="Sophie"/>
    <s v="Mher"/>
    <s v="Baboukjian"/>
    <s v="Mount Lebanon"/>
    <x v="3"/>
    <x v="0"/>
    <x v="20"/>
    <x v="20"/>
    <x v="2"/>
    <n v="96176791487"/>
    <s v="Fall  2025 - 2026"/>
    <n v="65"/>
    <n v="14"/>
    <n v="11"/>
    <n v="40"/>
    <n v="0.38461538461538464"/>
    <x v="1"/>
  </r>
  <r>
    <n v="62430085"/>
    <n v="213473"/>
    <s v="Stephanie"/>
    <s v="Dani"/>
    <s v="El Haddad"/>
    <s v="Mount Lebanon"/>
    <x v="3"/>
    <x v="0"/>
    <x v="20"/>
    <x v="20"/>
    <x v="2"/>
    <n v="81562219"/>
    <s v="Fall  2024 - 2025"/>
    <n v="65"/>
    <n v="26"/>
    <n v="13"/>
    <n v="26"/>
    <n v="0.6"/>
    <x v="0"/>
  </r>
  <r>
    <n v="62430134"/>
    <n v="210638"/>
    <s v="Stephanie"/>
    <s v="Joseph"/>
    <s v="Rizkallah"/>
    <s v="Mount Lebanon"/>
    <x v="4"/>
    <x v="0"/>
    <x v="37"/>
    <x v="37"/>
    <x v="1"/>
    <n v="96170996329"/>
    <s v="Fall  2024 - 2025"/>
    <n v="99"/>
    <n v="18"/>
    <n v="12"/>
    <n v="69"/>
    <n v="0.30303030303030304"/>
    <x v="1"/>
  </r>
  <r>
    <n v="62030131"/>
    <n v="154306"/>
    <s v="Stephanie"/>
    <s v="Edmond"/>
    <s v="Saliba"/>
    <s v="Mount Lebanon"/>
    <x v="1"/>
    <x v="0"/>
    <x v="15"/>
    <x v="15"/>
    <x v="1"/>
    <n v="96170017008"/>
    <s v="Fall  2020 - 2021"/>
    <n v="99"/>
    <n v="93"/>
    <n v="6"/>
    <n v="0"/>
    <n v="1"/>
    <x v="0"/>
  </r>
  <r>
    <n v="62430059"/>
    <n v="209721"/>
    <s v="Stephanie"/>
    <s v="Ohan"/>
    <s v="Torossian"/>
    <s v="Mount Lebanon"/>
    <x v="4"/>
    <x v="0"/>
    <x v="31"/>
    <x v="31"/>
    <x v="2"/>
    <n v="81270601"/>
    <s v="Fall  2024 - 2025"/>
    <n v="99"/>
    <n v="24"/>
    <n v="12"/>
    <n v="63"/>
    <n v="0.36363636363636365"/>
    <x v="1"/>
  </r>
  <r>
    <n v="62520002"/>
    <n v="218950"/>
    <s v="Stephany"/>
    <s v="Karo"/>
    <s v="Atajian"/>
    <s v="Mount Lebanon"/>
    <x v="1"/>
    <x v="0"/>
    <x v="26"/>
    <x v="26"/>
    <x v="1"/>
    <n v="96176877404"/>
    <s v="Summer  2024 - 2025"/>
    <n v="99"/>
    <n v="21"/>
    <n v="15"/>
    <n v="63"/>
    <n v="0.36363636363636365"/>
    <x v="1"/>
  </r>
  <r>
    <n v="62430271"/>
    <n v="215210"/>
    <s v="Steve"/>
    <s v="Haroutioun"/>
    <s v="Stepan"/>
    <s v="Mount Lebanon"/>
    <x v="1"/>
    <x v="0"/>
    <x v="55"/>
    <x v="55"/>
    <x v="1"/>
    <n v="96181805172"/>
    <s v="Fall  2024 - 2025"/>
    <n v="100"/>
    <n v="21"/>
    <n v="12"/>
    <n v="67"/>
    <n v="0.33"/>
    <x v="1"/>
  </r>
  <r>
    <n v="62430230"/>
    <n v="214181"/>
    <s v="Steven"/>
    <s v="Mounir"/>
    <s v="Bechara"/>
    <s v="Mount Lebanon"/>
    <x v="1"/>
    <x v="0"/>
    <x v="8"/>
    <x v="8"/>
    <x v="2"/>
    <n v="70392642"/>
    <s v="Fall  2024 - 2025"/>
    <n v="99"/>
    <n v="17"/>
    <n v="17"/>
    <n v="65"/>
    <n v="0.34343434343434343"/>
    <x v="1"/>
  </r>
  <r>
    <n v="62430182"/>
    <n v="214170"/>
    <s v="Subhi"/>
    <s v="Omar"/>
    <s v="Dibou"/>
    <s v="Mount Lebanon"/>
    <x v="1"/>
    <x v="0"/>
    <x v="5"/>
    <x v="5"/>
    <x v="1"/>
    <n v="96176608545"/>
    <s v="Fall  2024 - 2025"/>
    <n v="100"/>
    <n v="23"/>
    <n v="12"/>
    <n v="65"/>
    <n v="0.35"/>
    <x v="1"/>
  </r>
  <r>
    <n v="62430263"/>
    <n v="215201"/>
    <s v="Taimaa"/>
    <s v="Ibrahim"/>
    <s v="Al Khoder"/>
    <s v="Mount Lebanon"/>
    <x v="1"/>
    <x v="0"/>
    <x v="5"/>
    <x v="5"/>
    <x v="1"/>
    <n v="81146988"/>
    <s v="Fall  2024 - 2025"/>
    <n v="100"/>
    <n v="12"/>
    <n v="9"/>
    <n v="79"/>
    <n v="0.21"/>
    <x v="1"/>
  </r>
  <r>
    <n v="62530014"/>
    <n v="219389"/>
    <s v="Takla"/>
    <s v="Raffi"/>
    <s v="Garabedian"/>
    <s v="Mount Lebanon"/>
    <x v="1"/>
    <x v="0"/>
    <x v="23"/>
    <x v="23"/>
    <x v="2"/>
    <n v="76445361"/>
    <s v="Fall  2025 - 2026"/>
    <n v="99"/>
    <n v="8"/>
    <n v="16"/>
    <n v="75"/>
    <n v="0.24242424242424243"/>
    <x v="1"/>
  </r>
  <r>
    <n v="62210018"/>
    <n v="181810"/>
    <s v="Talar"/>
    <s v="Garabed"/>
    <s v="Boroyan"/>
    <s v="Mount Lebanon"/>
    <x v="2"/>
    <x v="0"/>
    <x v="6"/>
    <x v="6"/>
    <x v="1"/>
    <n v="96176692863"/>
    <s v="Spring  2021 - 2022"/>
    <n v="99"/>
    <n v="60"/>
    <n v="15"/>
    <n v="24"/>
    <n v="0.75757575757575757"/>
    <x v="0"/>
  </r>
  <r>
    <n v="62330022"/>
    <n v="198765"/>
    <s v="Talar"/>
    <s v="Sarkis"/>
    <s v="Kendirjian"/>
    <s v="Mount Lebanon"/>
    <x v="2"/>
    <x v="0"/>
    <x v="3"/>
    <x v="3"/>
    <x v="1"/>
    <n v="96181569919"/>
    <s v="Fall  2023 - 2024"/>
    <n v="99"/>
    <n v="90"/>
    <n v="9"/>
    <n v="0"/>
    <n v="1"/>
    <x v="0"/>
  </r>
  <r>
    <n v="62130111"/>
    <n v="197451"/>
    <s v="Talar"/>
    <s v="Hagop"/>
    <s v="Tossounian"/>
    <s v="Mount Lebanon"/>
    <x v="2"/>
    <x v="0"/>
    <x v="3"/>
    <x v="3"/>
    <x v="1"/>
    <n v="71069967"/>
    <s v="Spring  2022 - 2023"/>
    <n v="99"/>
    <n v="48"/>
    <n v="12"/>
    <n v="0"/>
    <n v="0.60606060606060608"/>
    <x v="0"/>
  </r>
  <r>
    <n v="62530020"/>
    <n v="219157"/>
    <s v="Talia"/>
    <s v="Ohannes"/>
    <s v="Kazandjian"/>
    <s v="Mount Lebanon"/>
    <x v="5"/>
    <x v="0"/>
    <x v="39"/>
    <x v="39"/>
    <x v="1"/>
    <n v="71644355"/>
    <s v="Fall  2025 - 2026"/>
    <n v="31"/>
    <n v="16"/>
    <n v="15"/>
    <n v="0"/>
    <n v="1"/>
    <x v="0"/>
  </r>
  <r>
    <n v="62230163"/>
    <n v="187657"/>
    <s v="Tanios"/>
    <s v="Michel"/>
    <s v="Saliba"/>
    <s v="Mount Lebanon"/>
    <x v="1"/>
    <x v="0"/>
    <x v="5"/>
    <x v="5"/>
    <x v="1"/>
    <n v="3425673"/>
    <s v="Fall  2022 - 2023"/>
    <n v="100"/>
    <n v="79"/>
    <n v="9"/>
    <n v="12"/>
    <n v="0.88"/>
    <x v="0"/>
  </r>
  <r>
    <n v="62310029"/>
    <n v="197320"/>
    <s v="Tatiana"/>
    <s v="Roger"/>
    <s v="Abou Sleiman"/>
    <s v="Mount Lebanon"/>
    <x v="2"/>
    <x v="0"/>
    <x v="6"/>
    <x v="6"/>
    <x v="1"/>
    <n v="76406085"/>
    <s v="Spring  2022 - 2023"/>
    <n v="99"/>
    <n v="69"/>
    <n v="15"/>
    <n v="15"/>
    <n v="0.84848484848484851"/>
    <x v="0"/>
  </r>
  <r>
    <n v="62330045"/>
    <n v="199090"/>
    <s v="Tatiana"/>
    <s v="Maroun"/>
    <s v="Estephan"/>
    <s v="Mount Lebanon"/>
    <x v="0"/>
    <x v="0"/>
    <x v="1"/>
    <x v="1"/>
    <x v="0"/>
    <n v="81238049"/>
    <s v="Fall  2023 - 2024"/>
    <n v="108"/>
    <n v="88"/>
    <n v="17"/>
    <n v="3"/>
    <n v="0.97222222222222221"/>
    <x v="0"/>
  </r>
  <r>
    <n v="62330195"/>
    <n v="215824"/>
    <s v="Tatiana"/>
    <s v="Johnny"/>
    <s v="Fayssal"/>
    <s v="Mount Lebanon"/>
    <x v="1"/>
    <x v="0"/>
    <x v="26"/>
    <x v="26"/>
    <x v="1"/>
    <n v="71708269"/>
    <s v="Fall  2024 - 2025"/>
    <n v="99"/>
    <n v="21"/>
    <n v="12"/>
    <n v="66"/>
    <n v="0.33333333333333331"/>
    <x v="1"/>
  </r>
  <r>
    <n v="62430145"/>
    <n v="220458"/>
    <s v="Theresa"/>
    <s v="Krikor"/>
    <s v="Khacheryan"/>
    <s v="Mount Lebanon"/>
    <x v="1"/>
    <x v="0"/>
    <x v="26"/>
    <x v="26"/>
    <x v="1"/>
    <n v="96171913672"/>
    <s v="Fall  2025 - 2026"/>
    <n v="99"/>
    <n v="9"/>
    <n v="9"/>
    <n v="6"/>
    <n v="0.18181818181818182"/>
    <x v="1"/>
  </r>
  <r>
    <n v="62230065"/>
    <n v="188639"/>
    <s v="Theresia"/>
    <s v="Salim"/>
    <s v="Abdelnour"/>
    <s v="Mount Lebanon"/>
    <x v="2"/>
    <x v="0"/>
    <x v="32"/>
    <x v="32"/>
    <x v="1"/>
    <n v="70173295"/>
    <s v="Fall  2022 - 2023"/>
    <n v="99"/>
    <n v="54"/>
    <n v="12"/>
    <n v="33"/>
    <n v="0.66666666666666663"/>
    <x v="0"/>
  </r>
  <r>
    <n v="62330017"/>
    <n v="198754"/>
    <s v="Tia"/>
    <s v="Fouad"/>
    <s v="Touma"/>
    <s v="Mount Lebanon"/>
    <x v="2"/>
    <x v="0"/>
    <x v="17"/>
    <x v="17"/>
    <x v="2"/>
    <n v="96171588672"/>
    <s v="Fall  2023 - 2024"/>
    <n v="99"/>
    <n v="66"/>
    <n v="15"/>
    <n v="18"/>
    <n v="0.81818181818181823"/>
    <x v="0"/>
  </r>
  <r>
    <n v="62530210"/>
    <n v="224531"/>
    <s v="Tila"/>
    <s v="Haroutioun"/>
    <s v="Bambekian"/>
    <s v="Mount Lebanon"/>
    <x v="5"/>
    <x v="0"/>
    <x v="39"/>
    <x v="39"/>
    <x v="1"/>
    <n v="96171506125"/>
    <s v="Fall  2025 - 2026"/>
    <n v="31"/>
    <n v="16"/>
    <n v="15"/>
    <n v="3"/>
    <n v="1"/>
    <x v="0"/>
  </r>
  <r>
    <n v="62530186"/>
    <n v="223902"/>
    <s v="Tina"/>
    <s v="Richard"/>
    <s v="Bachaalany"/>
    <s v="Mount Lebanon"/>
    <x v="1"/>
    <x v="0"/>
    <x v="12"/>
    <x v="12"/>
    <x v="1"/>
    <n v="96178969156"/>
    <s v="Fall  2025 - 2026"/>
    <n v="99"/>
    <n v="15"/>
    <n v="18"/>
    <n v="66"/>
    <n v="0.33333333333333331"/>
    <x v="1"/>
  </r>
  <r>
    <n v="61730174"/>
    <n v="142237"/>
    <s v="Tina"/>
    <s v="Omar"/>
    <s v="Husseini"/>
    <s v="Mount Lebanon"/>
    <x v="1"/>
    <x v="0"/>
    <x v="24"/>
    <x v="24"/>
    <x v="1"/>
    <n v="96171119216"/>
    <s v="Fall  2019 - 2020"/>
    <n v="108"/>
    <n v="78"/>
    <n v="15"/>
    <n v="24"/>
    <n v="0.86111111111111116"/>
    <x v="0"/>
  </r>
  <r>
    <n v="62330353"/>
    <n v="207573"/>
    <s v="Tony"/>
    <s v="Michel"/>
    <s v="Katrib"/>
    <s v="Mount Lebanon"/>
    <x v="1"/>
    <x v="0"/>
    <x v="5"/>
    <x v="5"/>
    <x v="1"/>
    <n v="96176093448"/>
    <s v="Fall  2023 - 2024"/>
    <n v="100"/>
    <n v="78"/>
    <n v="3"/>
    <n v="19"/>
    <n v="0.81"/>
    <x v="0"/>
  </r>
  <r>
    <n v="62530163"/>
    <n v="224939"/>
    <s v="Tony"/>
    <s v="Louis"/>
    <s v="Khoury Hanna"/>
    <s v="Mount Lebanon"/>
    <x v="0"/>
    <x v="0"/>
    <x v="1"/>
    <x v="1"/>
    <x v="0"/>
    <n v="96170513228"/>
    <s v="Fall  2025 - 2026"/>
    <n v="108"/>
    <n v="3"/>
    <n v="19"/>
    <n v="105"/>
    <n v="0.20370370370370369"/>
    <x v="1"/>
  </r>
  <r>
    <n v="62330043"/>
    <n v="198753"/>
    <s v="Tracy"/>
    <s v="Sarkis"/>
    <s v="Attieh"/>
    <s v="Mount Lebanon"/>
    <x v="1"/>
    <x v="0"/>
    <x v="2"/>
    <x v="2"/>
    <x v="1"/>
    <n v="96181890607"/>
    <s v="Fall  2023 - 2024"/>
    <n v="99"/>
    <n v="58"/>
    <n v="16"/>
    <n v="25"/>
    <n v="0.74747474747474751"/>
    <x v="0"/>
  </r>
  <r>
    <n v="62330215"/>
    <n v="202623"/>
    <s v="Tro Hovsep"/>
    <s v="Sarkis"/>
    <s v="Kounjian"/>
    <s v="Mount Lebanon"/>
    <x v="2"/>
    <x v="0"/>
    <x v="7"/>
    <x v="7"/>
    <x v="1"/>
    <n v="96181400275"/>
    <s v="Fall  2023 - 2024"/>
    <n v="99"/>
    <n v="45"/>
    <n v="12"/>
    <n v="42"/>
    <n v="0.5757575757575758"/>
    <x v="0"/>
  </r>
  <r>
    <n v="62410034"/>
    <n v="208738"/>
    <s v="Tsoler"/>
    <s v="Ohaness"/>
    <s v="Atokan"/>
    <s v="Mount Lebanon"/>
    <x v="2"/>
    <x v="0"/>
    <x v="17"/>
    <x v="17"/>
    <x v="2"/>
    <n v="70556884"/>
    <s v="Spring  2023 - 2024"/>
    <n v="99"/>
    <n v="72"/>
    <n v="18"/>
    <n v="9"/>
    <n v="0.90909090909090906"/>
    <x v="0"/>
  </r>
  <r>
    <n v="62330151"/>
    <n v="200549"/>
    <s v="Tsolere"/>
    <s v="Ara"/>
    <s v="Kodjaoghlanian"/>
    <s v="Mount Lebanon"/>
    <x v="1"/>
    <x v="0"/>
    <x v="2"/>
    <x v="2"/>
    <x v="1"/>
    <n v="96171179101"/>
    <s v="Fall  2023 - 2024"/>
    <n v="99"/>
    <n v="78"/>
    <n v="9"/>
    <n v="12"/>
    <n v="0.87878787878787878"/>
    <x v="0"/>
  </r>
  <r>
    <n v="62230293"/>
    <n v="191066"/>
    <s v="Tya"/>
    <s v="Mario"/>
    <s v="Azar"/>
    <s v="Mount Lebanon"/>
    <x v="1"/>
    <x v="0"/>
    <x v="14"/>
    <x v="14"/>
    <x v="2"/>
    <n v="76546774"/>
    <s v="Fall  2022 - 2023"/>
    <n v="105"/>
    <n v="87"/>
    <n v="18"/>
    <n v="0"/>
    <n v="1"/>
    <x v="0"/>
  </r>
  <r>
    <n v="62610027"/>
    <n v="227590"/>
    <s v="Vana"/>
    <s v="Haroutioun"/>
    <s v="Markarian"/>
    <s v="Mount Lebanon"/>
    <x v="4"/>
    <x v="0"/>
    <x v="47"/>
    <x v="47"/>
    <x v="1"/>
    <n v="70571801"/>
    <s v="Spring  2025 - 2026"/>
    <n v="99"/>
    <n v="0"/>
    <n v="12"/>
    <n v="93"/>
    <n v="0.12121212121212122"/>
    <x v="1"/>
  </r>
  <r>
    <n v="62430084"/>
    <n v="213040"/>
    <s v="Vanessa"/>
    <s v="Rabih"/>
    <s v="Abou Assaly"/>
    <s v="Mount Lebanon"/>
    <x v="3"/>
    <x v="0"/>
    <x v="20"/>
    <x v="20"/>
    <x v="2"/>
    <n v="71059134"/>
    <s v="Fall  2024 - 2025"/>
    <n v="65"/>
    <n v="47"/>
    <n v="15"/>
    <n v="3"/>
    <n v="0.9538461538461539"/>
    <x v="0"/>
  </r>
  <r>
    <n v="62130443"/>
    <n v="176115"/>
    <s v="Vanessa"/>
    <s v="Fady"/>
    <s v="Bechara"/>
    <s v="Mount Lebanon"/>
    <x v="2"/>
    <x v="0"/>
    <x v="3"/>
    <x v="3"/>
    <x v="1"/>
    <n v="70404402"/>
    <s v="Fall  2021 - 2022"/>
    <n v="99"/>
    <n v="72"/>
    <n v="15"/>
    <n v="12"/>
    <n v="0.87878787878787878"/>
    <x v="0"/>
  </r>
  <r>
    <n v="62430042"/>
    <n v="209476"/>
    <s v="Vanessa"/>
    <s v="Joseph"/>
    <s v="El Khoury"/>
    <s v="Mount Lebanon"/>
    <x v="1"/>
    <x v="0"/>
    <x v="2"/>
    <x v="2"/>
    <x v="1"/>
    <n v="96176929478"/>
    <s v="Fall  2024 - 2025"/>
    <n v="99"/>
    <n v="49"/>
    <n v="16"/>
    <n v="34"/>
    <n v="0.65656565656565657"/>
    <x v="0"/>
  </r>
  <r>
    <n v="62530125"/>
    <n v="222245"/>
    <s v="Vanessa"/>
    <s v="Dib"/>
    <s v="Nakhle"/>
    <s v="Mount Lebanon"/>
    <x v="2"/>
    <x v="0"/>
    <x v="11"/>
    <x v="11"/>
    <x v="1"/>
    <n v="96181092657"/>
    <s v="Fall  2025 - 2026"/>
    <n v="99"/>
    <n v="9"/>
    <n v="16"/>
    <n v="78"/>
    <n v="0.25252525252525254"/>
    <x v="1"/>
  </r>
  <r>
    <n v="62430068"/>
    <n v="209716"/>
    <s v="Vicken"/>
    <s v="Diran"/>
    <s v="Berberian"/>
    <s v="Mount Lebanon"/>
    <x v="1"/>
    <x v="0"/>
    <x v="5"/>
    <x v="5"/>
    <x v="1"/>
    <n v="9613652436"/>
    <s v="Fall  2024 - 2025"/>
    <n v="100"/>
    <n v="18"/>
    <n v="10"/>
    <n v="72"/>
    <n v="0.28000000000000003"/>
    <x v="1"/>
  </r>
  <r>
    <n v="62330090"/>
    <n v="200449"/>
    <s v="Vitaly"/>
    <s v="Simon"/>
    <s v="Mouradian"/>
    <s v="Mount Lebanon"/>
    <x v="2"/>
    <x v="0"/>
    <x v="6"/>
    <x v="6"/>
    <x v="1"/>
    <n v="96170225518"/>
    <s v="Fall  2023 - 2024"/>
    <n v="99"/>
    <n v="63"/>
    <n v="18"/>
    <n v="18"/>
    <n v="0.81818181818181823"/>
    <x v="0"/>
  </r>
  <r>
    <n v="62130080"/>
    <n v="167990"/>
    <s v="Vreij"/>
    <s v="Hovsep"/>
    <s v="Nazarian"/>
    <s v="Mount Lebanon"/>
    <x v="0"/>
    <x v="0"/>
    <x v="1"/>
    <x v="1"/>
    <x v="0"/>
    <n v="76580899"/>
    <s v="Fall  2021 - 2022"/>
    <n v="108"/>
    <n v="90"/>
    <n v="18"/>
    <n v="0"/>
    <n v="1"/>
    <x v="0"/>
  </r>
  <r>
    <n v="62030329"/>
    <n v="159429"/>
    <s v="Waed"/>
    <s v="Rayan"/>
    <s v="Shamseddine"/>
    <s v="Mount Lebanon"/>
    <x v="2"/>
    <x v="0"/>
    <x v="7"/>
    <x v="7"/>
    <x v="1"/>
    <n v="71724090"/>
    <s v="Fall  2020 - 2021"/>
    <n v="99"/>
    <n v="46"/>
    <n v="18"/>
    <n v="36"/>
    <n v="0.64646464646464652"/>
    <x v="0"/>
  </r>
  <r>
    <n v="62530127"/>
    <n v="221133"/>
    <s v="Wael"/>
    <s v="Khalil"/>
    <s v="Chmeis"/>
    <s v="Mount Lebanon"/>
    <x v="2"/>
    <x v="0"/>
    <x v="22"/>
    <x v="22"/>
    <x v="1"/>
    <n v="81340191"/>
    <s v="Fall  2025 - 2026"/>
    <n v="99"/>
    <n v="6"/>
    <n v="10"/>
    <n v="91"/>
    <n v="0.16161616161616163"/>
    <x v="1"/>
  </r>
  <r>
    <n v="62430309"/>
    <n v="216109"/>
    <s v="Walid"/>
    <s v="Mohamed Elgamal Mohamed"/>
    <s v="Ammar"/>
    <s v="Mount Lebanon"/>
    <x v="1"/>
    <x v="0"/>
    <x v="15"/>
    <x v="15"/>
    <x v="1"/>
    <n v="96170771180"/>
    <s v="Fall  2024 - 2025"/>
    <n v="99"/>
    <n v="3"/>
    <n v="13"/>
    <n v="90"/>
    <n v="0.16161616161616163"/>
    <x v="1"/>
  </r>
  <r>
    <n v="62530271"/>
    <n v="226459"/>
    <s v="Wissam"/>
    <s v="Mohamad"/>
    <s v="Hamcho"/>
    <s v="Mount Lebanon"/>
    <x v="0"/>
    <x v="0"/>
    <x v="16"/>
    <x v="16"/>
    <x v="0"/>
    <n v="96170971282"/>
    <s v="Fall  2025 - 2026"/>
    <n v="108"/>
    <n v="3"/>
    <n v="16"/>
    <n v="106"/>
    <n v="0.17592592592592593"/>
    <x v="1"/>
  </r>
  <r>
    <n v="62530143"/>
    <n v="222294"/>
    <s v="Yara"/>
    <s v="Wissam"/>
    <s v="Al Sebaaly"/>
    <s v="Mount Lebanon"/>
    <x v="0"/>
    <x v="0"/>
    <x v="29"/>
    <x v="29"/>
    <x v="0"/>
    <n v="96176804435"/>
    <s v="Fall  2025 - 2026"/>
    <n v="108"/>
    <n v="7"/>
    <n v="15"/>
    <n v="86"/>
    <n v="0.20370370370370369"/>
    <x v="1"/>
  </r>
  <r>
    <n v="62230338"/>
    <n v="191137"/>
    <s v="Yara"/>
    <s v="Salah"/>
    <s v="El Aref"/>
    <s v="Mount Lebanon"/>
    <x v="1"/>
    <x v="0"/>
    <x v="14"/>
    <x v="14"/>
    <x v="2"/>
    <n v="3550209"/>
    <s v="Fall  2022 - 2023"/>
    <n v="105"/>
    <n v="93"/>
    <n v="6"/>
    <n v="6"/>
    <n v="0.94285714285714284"/>
    <x v="0"/>
  </r>
  <r>
    <n v="62230231"/>
    <n v="189133"/>
    <s v="Yara"/>
    <s v="Jean"/>
    <s v="Imad"/>
    <s v="Mount Lebanon"/>
    <x v="2"/>
    <x v="0"/>
    <x v="3"/>
    <x v="3"/>
    <x v="1"/>
    <n v="96178980195"/>
    <s v="Fall  2022 - 2023"/>
    <n v="99"/>
    <n v="72"/>
    <n v="18"/>
    <n v="9"/>
    <n v="0.90909090909090906"/>
    <x v="0"/>
  </r>
  <r>
    <n v="62430038"/>
    <n v="209479"/>
    <s v="Yara"/>
    <s v="Fadi"/>
    <s v="Melhem"/>
    <s v="Mount Lebanon"/>
    <x v="2"/>
    <x v="0"/>
    <x v="3"/>
    <x v="3"/>
    <x v="1"/>
    <n v="81406347"/>
    <s v="Fall  2024 - 2025"/>
    <n v="99"/>
    <n v="48"/>
    <n v="15"/>
    <n v="36"/>
    <n v="0.63636363636363635"/>
    <x v="0"/>
  </r>
  <r>
    <n v="62330029"/>
    <n v="198751"/>
    <s v="Yara"/>
    <s v="Imad"/>
    <s v="Noun"/>
    <s v="Mount Lebanon"/>
    <x v="2"/>
    <x v="0"/>
    <x v="9"/>
    <x v="9"/>
    <x v="1"/>
    <n v="96171456558"/>
    <s v="Fall  2023 - 2024"/>
    <n v="99"/>
    <n v="27"/>
    <n v="12"/>
    <n v="60"/>
    <n v="0.39393939393939392"/>
    <x v="1"/>
  </r>
  <r>
    <n v="61930089"/>
    <n v="197953"/>
    <s v="Yasmin"/>
    <s v="El Sayed"/>
    <s v="Mohamed Saad Tahawy"/>
    <s v="Mount Lebanon"/>
    <x v="1"/>
    <x v="0"/>
    <x v="8"/>
    <x v="8"/>
    <x v="2"/>
    <n v="76481497"/>
    <s v="Spring  2022 - 2023"/>
    <n v="99"/>
    <n v="48"/>
    <n v="3"/>
    <n v="48"/>
    <n v="0.51515151515151514"/>
    <x v="0"/>
  </r>
  <r>
    <n v="62230189"/>
    <n v="187250"/>
    <s v="Yasmina"/>
    <s v="Kinan"/>
    <s v="Wehbe"/>
    <s v="Mount Lebanon"/>
    <x v="1"/>
    <x v="0"/>
    <x v="8"/>
    <x v="8"/>
    <x v="2"/>
    <n v="96171522520"/>
    <s v="Fall  2022 - 2023"/>
    <n v="99"/>
    <n v="86"/>
    <n v="13"/>
    <n v="0"/>
    <n v="1"/>
    <x v="0"/>
  </r>
  <r>
    <n v="62430250"/>
    <n v="215071"/>
    <s v="Yorgo"/>
    <s v="Georges"/>
    <s v="Machak"/>
    <s v="Mount Lebanon"/>
    <x v="2"/>
    <x v="0"/>
    <x v="6"/>
    <x v="6"/>
    <x v="1"/>
    <n v="96170971470"/>
    <s v="Fall  2024 - 2025"/>
    <n v="99"/>
    <n v="39"/>
    <n v="15"/>
    <n v="45"/>
    <n v="0.54545454545454541"/>
    <x v="0"/>
  </r>
  <r>
    <n v="62430269"/>
    <n v="225967"/>
    <s v="Yorgo"/>
    <s v="Elie"/>
    <s v="Rached"/>
    <s v="Mount Lebanon"/>
    <x v="1"/>
    <x v="0"/>
    <x v="35"/>
    <x v="35"/>
    <x v="1"/>
    <n v="96171207708"/>
    <s v="Fall  2025 - 2026"/>
    <n v="99"/>
    <n v="9"/>
    <n v="16"/>
    <n v="0"/>
    <n v="0.25252525252525254"/>
    <x v="1"/>
  </r>
  <r>
    <n v="62230285"/>
    <n v="189805"/>
    <s v="Youssef"/>
    <s v="Andre"/>
    <s v="Abi Nakhoul"/>
    <s v="Mount Lebanon"/>
    <x v="1"/>
    <x v="0"/>
    <x v="5"/>
    <x v="5"/>
    <x v="1"/>
    <n v="96171253397"/>
    <s v="Fall  2022 - 2023"/>
    <n v="100"/>
    <n v="55"/>
    <n v="12"/>
    <n v="33"/>
    <n v="0.67"/>
    <x v="0"/>
  </r>
  <r>
    <n v="62530001"/>
    <n v="219384"/>
    <s v="Youssef"/>
    <s v="Elias"/>
    <s v="Deeb"/>
    <s v="Mount Lebanon"/>
    <x v="1"/>
    <x v="0"/>
    <x v="35"/>
    <x v="35"/>
    <x v="1"/>
    <n v="96176775414"/>
    <s v="Fall  2025 - 2026"/>
    <n v="99"/>
    <n v="12"/>
    <n v="7"/>
    <n v="81"/>
    <n v="0.19191919191919191"/>
    <x v="1"/>
  </r>
  <r>
    <n v="12234912"/>
    <n v="196326"/>
    <s v="Youssef"/>
    <s v="Bilal"/>
    <s v="Hijazi"/>
    <s v="Mount Lebanon"/>
    <x v="1"/>
    <x v="0"/>
    <x v="24"/>
    <x v="24"/>
    <x v="1"/>
    <n v="76400902"/>
    <s v="Fall  2022 - 2023"/>
    <n v="108"/>
    <n v="42"/>
    <n v="12"/>
    <n v="54"/>
    <n v="0.5"/>
    <x v="1"/>
  </r>
  <r>
    <n v="62530034"/>
    <n v="219163"/>
    <s v="Zakiya"/>
    <s v="Mustafa"/>
    <s v="Hamo"/>
    <s v="Mount Lebanon"/>
    <x v="1"/>
    <x v="0"/>
    <x v="4"/>
    <x v="4"/>
    <x v="2"/>
    <n v="81372325"/>
    <s v="Fall  2025 - 2026"/>
    <n v="105"/>
    <n v="0"/>
    <n v="15"/>
    <n v="94"/>
    <n v="0.14285714285714285"/>
    <x v="1"/>
  </r>
  <r>
    <n v="62530146"/>
    <n v="222270"/>
    <s v="Zein Alabeden"/>
    <s v="Nemer"/>
    <s v="Khaddam"/>
    <s v="Mount Lebanon"/>
    <x v="2"/>
    <x v="0"/>
    <x v="11"/>
    <x v="11"/>
    <x v="1"/>
    <n v="96178709543"/>
    <s v="Fall  2025 - 2026"/>
    <n v="99"/>
    <n v="3"/>
    <n v="13"/>
    <n v="91"/>
    <n v="0.16161616161616163"/>
    <x v="1"/>
  </r>
  <r>
    <n v="62230051"/>
    <n v="188607"/>
    <s v="Zeina"/>
    <s v="Dani"/>
    <s v="Maan"/>
    <s v="Mount Lebanon"/>
    <x v="1"/>
    <x v="0"/>
    <x v="24"/>
    <x v="24"/>
    <x v="1"/>
    <n v="96181834132"/>
    <s v="Fall  2022 - 2023"/>
    <n v="108"/>
    <n v="102"/>
    <n v="6"/>
    <n v="0"/>
    <n v="1"/>
    <x v="0"/>
  </r>
  <r>
    <n v="62430303"/>
    <n v="216012"/>
    <s v="Ziad"/>
    <s v="Mohamed Elgamal Mohamed"/>
    <s v="Ammar"/>
    <s v="Mount Lebanon"/>
    <x v="1"/>
    <x v="0"/>
    <x v="27"/>
    <x v="27"/>
    <x v="1"/>
    <n v="96181427455"/>
    <s v="Fall  2024 - 2025"/>
    <n v="108"/>
    <n v="3"/>
    <n v="10"/>
    <n v="106"/>
    <n v="0.12037037037037036"/>
    <x v="1"/>
  </r>
  <r>
    <n v="62330078"/>
    <n v="215186"/>
    <s v="Zila"/>
    <s v="Leon"/>
    <s v="Abdoian"/>
    <s v="Mount Lebanon"/>
    <x v="2"/>
    <x v="0"/>
    <x v="19"/>
    <x v="19"/>
    <x v="2"/>
    <n v="81132389"/>
    <s v="Fall  2024 - 2025"/>
    <n v="99"/>
    <n v="30"/>
    <n v="12"/>
    <n v="3"/>
    <n v="0.4242424242424242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chool/Major" colHeaderCaption=" ">
  <location ref="A3:E46" firstHeaderRow="1" firstDataRow="2" firstDataCol="1" rowPageCount="1" colPageCount="1"/>
  <pivotFields count="19"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1"/>
        <item x="2"/>
        <item x="4"/>
        <item x="0"/>
        <item h="1" x="5"/>
        <item x="3"/>
        <item t="default"/>
      </items>
    </pivotField>
    <pivotField showAll="0">
      <items count="2">
        <item x="0"/>
        <item t="default"/>
      </items>
    </pivotField>
    <pivotField showAll="0">
      <items count="60">
        <item x="34"/>
        <item x="48"/>
        <item x="41"/>
        <item x="54"/>
        <item x="27"/>
        <item x="17"/>
        <item x="19"/>
        <item x="51"/>
        <item x="33"/>
        <item x="42"/>
        <item x="11"/>
        <item x="9"/>
        <item x="22"/>
        <item x="49"/>
        <item x="28"/>
        <item x="4"/>
        <item x="35"/>
        <item x="53"/>
        <item x="47"/>
        <item x="58"/>
        <item x="25"/>
        <item x="21"/>
        <item x="10"/>
        <item x="26"/>
        <item x="32"/>
        <item x="12"/>
        <item x="43"/>
        <item x="46"/>
        <item x="44"/>
        <item x="14"/>
        <item x="6"/>
        <item x="7"/>
        <item x="3"/>
        <item x="23"/>
        <item x="57"/>
        <item x="45"/>
        <item x="29"/>
        <item x="37"/>
        <item x="5"/>
        <item x="55"/>
        <item x="16"/>
        <item x="50"/>
        <item x="39"/>
        <item x="2"/>
        <item x="15"/>
        <item x="13"/>
        <item x="30"/>
        <item x="36"/>
        <item x="18"/>
        <item x="52"/>
        <item x="1"/>
        <item x="8"/>
        <item x="38"/>
        <item x="20"/>
        <item x="24"/>
        <item x="40"/>
        <item x="0"/>
        <item x="31"/>
        <item x="56"/>
        <item t="default"/>
      </items>
    </pivotField>
    <pivotField axis="axisRow" showAll="0">
      <items count="60">
        <item x="47"/>
        <item x="58"/>
        <item x="34"/>
        <item x="36"/>
        <item x="38"/>
        <item x="24"/>
        <item x="48"/>
        <item x="41"/>
        <item x="54"/>
        <item x="2"/>
        <item x="26"/>
        <item x="15"/>
        <item x="49"/>
        <item x="28"/>
        <item x="4"/>
        <item x="19"/>
        <item x="11"/>
        <item x="51"/>
        <item x="33"/>
        <item x="42"/>
        <item x="9"/>
        <item x="22"/>
        <item x="17"/>
        <item x="10"/>
        <item x="6"/>
        <item x="32"/>
        <item x="30"/>
        <item x="7"/>
        <item x="3"/>
        <item x="27"/>
        <item x="35"/>
        <item x="37"/>
        <item x="31"/>
        <item x="21"/>
        <item x="53"/>
        <item x="12"/>
        <item x="44"/>
        <item x="23"/>
        <item x="43"/>
        <item x="46"/>
        <item x="57"/>
        <item x="14"/>
        <item x="0"/>
        <item x="29"/>
        <item x="5"/>
        <item x="16"/>
        <item x="25"/>
        <item x="18"/>
        <item x="50"/>
        <item x="13"/>
        <item x="55"/>
        <item x="52"/>
        <item x="1"/>
        <item x="8"/>
        <item x="40"/>
        <item x="45"/>
        <item x="56"/>
        <item x="39"/>
        <item x="20"/>
        <item t="default"/>
      </items>
    </pivotField>
    <pivotField axis="axisCol" showAll="0">
      <items count="6">
        <item n="Engineering" x="0"/>
        <item x="2"/>
        <item x="1"/>
        <item m="1" x="4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axis="axisPage" multipleItemSelectionAllowed="1" showAll="0">
      <items count="5">
        <item m="1" x="3"/>
        <item h="1" m="1" x="2"/>
        <item x="0"/>
        <item h="1" x="1"/>
        <item t="default"/>
      </items>
    </pivotField>
  </pivotFields>
  <rowFields count="2">
    <field x="6"/>
    <field x="9"/>
  </rowFields>
  <rowItems count="42">
    <i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30"/>
    </i>
    <i r="1">
      <x v="37"/>
    </i>
    <i r="1">
      <x v="41"/>
    </i>
    <i r="1">
      <x v="44"/>
    </i>
    <i r="1">
      <x v="48"/>
    </i>
    <i r="1">
      <x v="50"/>
    </i>
    <i r="1">
      <x v="53"/>
    </i>
    <i>
      <x v="1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2"/>
    </i>
    <i r="1">
      <x v="31"/>
    </i>
    <i>
      <x v="3"/>
    </i>
    <i r="1">
      <x v="40"/>
    </i>
    <i r="1">
      <x v="42"/>
    </i>
    <i r="1">
      <x v="43"/>
    </i>
    <i r="1">
      <x v="45"/>
    </i>
    <i r="1">
      <x v="49"/>
    </i>
    <i r="1">
      <x v="52"/>
    </i>
    <i>
      <x v="5"/>
    </i>
    <i r="1">
      <x v="58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pageFields count="1">
    <pageField fld="18" hier="-1"/>
  </pageFields>
  <dataFields count="1">
    <dataField name="Count of AppID" fld="1" subtotal="count" baseField="0" baseItem="0"/>
  </dataFields>
  <formats count="31">
    <format dxfId="36">
      <pivotArea outline="0" collapsedLevelsAreSubtotals="1" fieldPosition="0"/>
    </format>
    <format dxfId="35">
      <pivotArea dataOnly="0" labelOnly="1" fieldPosition="0">
        <references count="1">
          <reference field="6" count="0"/>
        </references>
      </pivotArea>
    </format>
    <format dxfId="34">
      <pivotArea dataOnly="0" labelOnly="1" grandRow="1" outline="0" fieldPosition="0"/>
    </format>
    <format dxfId="33">
      <pivotArea outline="0" collapsedLevelsAreSubtotals="1" fieldPosition="0"/>
    </format>
    <format dxfId="32">
      <pivotArea dataOnly="0" labelOnly="1" fieldPosition="0">
        <references count="1">
          <reference field="6" count="0"/>
        </references>
      </pivotArea>
    </format>
    <format dxfId="31">
      <pivotArea dataOnly="0" labelOnly="1" grandRow="1" outline="0" fieldPosition="0"/>
    </format>
    <format dxfId="30">
      <pivotArea outline="0" collapsedLevelsAreSubtotals="1" fieldPosition="0"/>
    </format>
    <format dxfId="29">
      <pivotArea dataOnly="0" labelOnly="1" fieldPosition="0">
        <references count="1">
          <reference field="6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1">
          <reference field="10" count="1">
            <x v="0"/>
          </reference>
        </references>
      </pivotArea>
    </format>
    <format dxfId="26">
      <pivotArea dataOnly="0" labelOnly="1" fieldPosition="0">
        <references count="1">
          <reference field="6" count="0"/>
        </references>
      </pivotArea>
    </format>
    <format dxfId="25">
      <pivotArea dataOnly="0" labelOnly="1" grandRow="1" outline="0" fieldPosition="0"/>
    </format>
    <format dxfId="24">
      <pivotArea dataOnly="0" labelOnly="1" fieldPosition="0">
        <references count="2">
          <reference field="6" count="1" selected="0">
            <x v="0"/>
          </reference>
          <reference field="9" count="18">
            <x v="2"/>
            <x v="3"/>
            <x v="4"/>
            <x v="5"/>
            <x v="6"/>
            <x v="7"/>
            <x v="8"/>
            <x v="9"/>
            <x v="10"/>
            <x v="11"/>
            <x v="12"/>
            <x v="30"/>
            <x v="37"/>
            <x v="41"/>
            <x v="44"/>
            <x v="48"/>
            <x v="50"/>
            <x v="53"/>
          </reference>
        </references>
      </pivotArea>
    </format>
    <format dxfId="23">
      <pivotArea dataOnly="0" labelOnly="1" fieldPosition="0">
        <references count="2">
          <reference field="6" count="1" selected="0">
            <x v="1"/>
          </reference>
          <reference field="9" count="10">
            <x v="18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22">
      <pivotArea dataOnly="0" labelOnly="1" fieldPosition="0">
        <references count="2">
          <reference field="6" count="1" selected="0">
            <x v="2"/>
          </reference>
          <reference field="9" count="1">
            <x v="31"/>
          </reference>
        </references>
      </pivotArea>
    </format>
    <format dxfId="21">
      <pivotArea dataOnly="0" labelOnly="1" fieldPosition="0">
        <references count="2">
          <reference field="6" count="1" selected="0">
            <x v="3"/>
          </reference>
          <reference field="9" count="6">
            <x v="40"/>
            <x v="42"/>
            <x v="43"/>
            <x v="45"/>
            <x v="49"/>
            <x v="52"/>
          </reference>
        </references>
      </pivotArea>
    </format>
    <format dxfId="20">
      <pivotArea dataOnly="0" labelOnly="1" fieldPosition="0">
        <references count="2">
          <reference field="6" count="1" selected="0">
            <x v="4"/>
          </reference>
          <reference field="9" count="1">
            <x v="57"/>
          </reference>
        </references>
      </pivotArea>
    </format>
    <format dxfId="19">
      <pivotArea dataOnly="0" labelOnly="1" fieldPosition="0">
        <references count="2">
          <reference field="6" count="1" selected="0">
            <x v="5"/>
          </reference>
          <reference field="9" count="1">
            <x v="58"/>
          </reference>
        </references>
      </pivotArea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18" count="0"/>
        </references>
      </pivotArea>
    </format>
    <format dxfId="16">
      <pivotArea field="10" type="button" dataOnly="0" labelOnly="1" outline="0" axis="axisCol" fieldPosition="0"/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10" count="0"/>
        </references>
      </pivotArea>
    </format>
    <format dxfId="13">
      <pivotArea dataOnly="0" labelOnly="1" grandCol="1" outline="0" fieldPosition="0"/>
    </format>
    <format dxfId="12">
      <pivotArea dataOnly="0" labelOnly="1" fieldPosition="0">
        <references count="1">
          <reference field="9" count="0"/>
        </references>
      </pivotArea>
    </format>
    <format dxfId="11">
      <pivotArea dataOnly="0" labelOnly="1" fieldPosition="0">
        <references count="1">
          <reference field="10" count="1">
            <x v="1"/>
          </reference>
        </references>
      </pivotArea>
    </format>
    <format dxfId="10">
      <pivotArea dataOnly="0" labelOnly="1" fieldPosition="0">
        <references count="1">
          <reference field="10" count="1">
            <x v="2"/>
          </reference>
        </references>
      </pivotArea>
    </format>
    <format dxfId="9">
      <pivotArea dataOnly="0" labelOnly="1" fieldPosition="0">
        <references count="1">
          <reference field="10" count="1">
            <x v="0"/>
          </reference>
        </references>
      </pivotArea>
    </format>
    <format dxfId="8">
      <pivotArea field="6" type="button" dataOnly="0" labelOnly="1" outline="0" axis="axisRow" fieldPosition="0"/>
    </format>
    <format dxfId="7">
      <pivotArea dataOnly="0" labelOnly="1" fieldPosition="0">
        <references count="1">
          <reference field="10" count="0"/>
        </references>
      </pivotArea>
    </format>
    <format dxfId="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 ">
  <location ref="A3:E73" firstHeaderRow="1" firstDataRow="2" firstDataCol="1" rowPageCount="1" colPageCount="1"/>
  <pivotFields count="19"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1"/>
        <item x="2"/>
        <item x="4"/>
        <item x="0"/>
        <item x="5"/>
        <item x="3"/>
        <item t="default"/>
      </items>
    </pivotField>
    <pivotField axis="axisRow" showAll="0">
      <items count="2">
        <item x="0"/>
        <item t="default"/>
      </items>
    </pivotField>
    <pivotField showAll="0">
      <items count="60">
        <item x="34"/>
        <item x="48"/>
        <item x="41"/>
        <item x="54"/>
        <item x="27"/>
        <item x="17"/>
        <item x="19"/>
        <item x="51"/>
        <item x="33"/>
        <item x="42"/>
        <item x="11"/>
        <item x="9"/>
        <item x="22"/>
        <item x="49"/>
        <item x="28"/>
        <item x="4"/>
        <item x="35"/>
        <item x="53"/>
        <item x="47"/>
        <item x="58"/>
        <item x="25"/>
        <item x="21"/>
        <item x="10"/>
        <item x="26"/>
        <item x="32"/>
        <item x="12"/>
        <item x="43"/>
        <item x="46"/>
        <item x="44"/>
        <item x="14"/>
        <item x="6"/>
        <item x="7"/>
        <item x="3"/>
        <item x="23"/>
        <item x="57"/>
        <item x="45"/>
        <item x="29"/>
        <item x="37"/>
        <item x="5"/>
        <item x="55"/>
        <item x="16"/>
        <item x="50"/>
        <item x="39"/>
        <item x="2"/>
        <item x="15"/>
        <item x="13"/>
        <item x="30"/>
        <item x="36"/>
        <item x="18"/>
        <item x="52"/>
        <item x="1"/>
        <item x="8"/>
        <item x="38"/>
        <item x="20"/>
        <item x="24"/>
        <item x="40"/>
        <item x="0"/>
        <item x="31"/>
        <item x="56"/>
        <item t="default"/>
      </items>
    </pivotField>
    <pivotField axis="axisRow" showAll="0">
      <items count="60">
        <item x="47"/>
        <item x="58"/>
        <item x="34"/>
        <item x="36"/>
        <item x="38"/>
        <item x="24"/>
        <item x="2"/>
        <item x="15"/>
        <item x="49"/>
        <item x="28"/>
        <item x="4"/>
        <item x="19"/>
        <item x="11"/>
        <item x="51"/>
        <item x="33"/>
        <item x="42"/>
        <item x="9"/>
        <item x="22"/>
        <item x="17"/>
        <item x="10"/>
        <item x="6"/>
        <item x="32"/>
        <item x="30"/>
        <item x="7"/>
        <item x="3"/>
        <item x="48"/>
        <item x="41"/>
        <item x="54"/>
        <item x="27"/>
        <item x="35"/>
        <item x="37"/>
        <item x="31"/>
        <item x="21"/>
        <item x="26"/>
        <item x="53"/>
        <item x="12"/>
        <item x="44"/>
        <item x="23"/>
        <item x="43"/>
        <item x="46"/>
        <item x="57"/>
        <item x="14"/>
        <item x="0"/>
        <item x="29"/>
        <item x="5"/>
        <item x="16"/>
        <item x="25"/>
        <item x="18"/>
        <item x="50"/>
        <item x="13"/>
        <item x="55"/>
        <item x="52"/>
        <item x="1"/>
        <item x="8"/>
        <item x="40"/>
        <item x="45"/>
        <item x="56"/>
        <item x="39"/>
        <item x="20"/>
        <item t="default"/>
      </items>
    </pivotField>
    <pivotField axis="axisCol" showAll="0">
      <items count="6">
        <item x="0"/>
        <item x="2"/>
        <item x="1"/>
        <item m="1" x="4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numFmtId="9" showAll="0"/>
    <pivotField axis="axisPage" multipleItemSelectionAllowed="1" showAll="0">
      <items count="5">
        <item m="1" x="3"/>
        <item h="1" m="1" x="2"/>
        <item h="1" x="0"/>
        <item x="1"/>
        <item t="default"/>
      </items>
    </pivotField>
  </pivotFields>
  <rowFields count="3">
    <field x="6"/>
    <field x="7"/>
    <field x="9"/>
  </rowFields>
  <rowItems count="69">
    <i>
      <x/>
    </i>
    <i r="1"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25"/>
    </i>
    <i r="2">
      <x v="27"/>
    </i>
    <i r="2">
      <x v="28"/>
    </i>
    <i r="2">
      <x v="29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1"/>
    </i>
    <i r="2">
      <x v="44"/>
    </i>
    <i r="2">
      <x v="48"/>
    </i>
    <i r="2">
      <x v="50"/>
    </i>
    <i r="2">
      <x v="51"/>
    </i>
    <i r="2">
      <x v="53"/>
    </i>
    <i>
      <x v="1"/>
    </i>
    <i r="1">
      <x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>
      <x v="2"/>
    </i>
    <i r="1">
      <x/>
    </i>
    <i r="2">
      <x/>
    </i>
    <i r="2">
      <x v="1"/>
    </i>
    <i r="2">
      <x v="30"/>
    </i>
    <i r="2">
      <x v="31"/>
    </i>
    <i r="2">
      <x v="55"/>
    </i>
    <i r="2">
      <x v="56"/>
    </i>
    <i>
      <x v="3"/>
    </i>
    <i r="1">
      <x/>
    </i>
    <i r="2">
      <x v="42"/>
    </i>
    <i r="2">
      <x v="43"/>
    </i>
    <i r="2">
      <x v="45"/>
    </i>
    <i r="2">
      <x v="46"/>
    </i>
    <i r="2">
      <x v="47"/>
    </i>
    <i r="2">
      <x v="49"/>
    </i>
    <i r="2">
      <x v="52"/>
    </i>
    <i r="2">
      <x v="54"/>
    </i>
    <i>
      <x v="4"/>
    </i>
    <i r="1">
      <x/>
    </i>
    <i r="2">
      <x v="57"/>
    </i>
    <i>
      <x v="5"/>
    </i>
    <i r="1">
      <x/>
    </i>
    <i r="2">
      <x v="58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pageFields count="1">
    <pageField fld="18" hier="-1"/>
  </pageFields>
  <dataFields count="1">
    <dataField name="Count of AppID" fld="1" subtotal="count" baseField="0" baseItem="0"/>
  </dataFields>
  <formats count="58">
    <format dxfId="94">
      <pivotArea outline="0" collapsedLevelsAreSubtotals="1" fieldPosition="0"/>
    </format>
    <format dxfId="93">
      <pivotArea dataOnly="0" labelOnly="1" fieldPosition="0">
        <references count="1">
          <reference field="6" count="0"/>
        </references>
      </pivotArea>
    </format>
    <format dxfId="92">
      <pivotArea dataOnly="0" labelOnly="1" grandRow="1" outline="0" fieldPosition="0"/>
    </format>
    <format dxfId="91">
      <pivotArea dataOnly="0" labelOnly="1" fieldPosition="0">
        <references count="2">
          <reference field="6" count="1" selected="0">
            <x v="0"/>
          </reference>
          <reference field="7" count="0"/>
        </references>
      </pivotArea>
    </format>
    <format dxfId="90">
      <pivotArea dataOnly="0" labelOnly="1" fieldPosition="0">
        <references count="2">
          <reference field="6" count="1" selected="0">
            <x v="1"/>
          </reference>
          <reference field="7" count="0"/>
        </references>
      </pivotArea>
    </format>
    <format dxfId="89">
      <pivotArea dataOnly="0" labelOnly="1" fieldPosition="0">
        <references count="2">
          <reference field="6" count="1" selected="0">
            <x v="2"/>
          </reference>
          <reference field="7" count="0"/>
        </references>
      </pivotArea>
    </format>
    <format dxfId="88">
      <pivotArea dataOnly="0" labelOnly="1" fieldPosition="0">
        <references count="2">
          <reference field="6" count="1" selected="0">
            <x v="3"/>
          </reference>
          <reference field="7" count="0"/>
        </references>
      </pivotArea>
    </format>
    <format dxfId="87">
      <pivotArea dataOnly="0" labelOnly="1" fieldPosition="0">
        <references count="2">
          <reference field="6" count="1" selected="0">
            <x v="4"/>
          </reference>
          <reference field="7" count="0"/>
        </references>
      </pivotArea>
    </format>
    <format dxfId="86">
      <pivotArea dataOnly="0" labelOnly="1" fieldPosition="0">
        <references count="2">
          <reference field="6" count="1" selected="0">
            <x v="5"/>
          </reference>
          <reference field="7" count="0"/>
        </references>
      </pivotArea>
    </format>
    <format dxfId="85">
      <pivotArea outline="0" collapsedLevelsAreSubtotals="1" fieldPosition="0"/>
    </format>
    <format dxfId="84">
      <pivotArea dataOnly="0" labelOnly="1" fieldPosition="0">
        <references count="1">
          <reference field="6" count="0"/>
        </references>
      </pivotArea>
    </format>
    <format dxfId="83">
      <pivotArea dataOnly="0" labelOnly="1" grandRow="1" outline="0" fieldPosition="0"/>
    </format>
    <format dxfId="82">
      <pivotArea dataOnly="0" labelOnly="1" fieldPosition="0">
        <references count="2">
          <reference field="6" count="1" selected="0">
            <x v="0"/>
          </reference>
          <reference field="7" count="0"/>
        </references>
      </pivotArea>
    </format>
    <format dxfId="81">
      <pivotArea dataOnly="0" labelOnly="1" fieldPosition="0">
        <references count="2">
          <reference field="6" count="1" selected="0">
            <x v="1"/>
          </reference>
          <reference field="7" count="0"/>
        </references>
      </pivotArea>
    </format>
    <format dxfId="80">
      <pivotArea dataOnly="0" labelOnly="1" fieldPosition="0">
        <references count="2">
          <reference field="6" count="1" selected="0">
            <x v="2"/>
          </reference>
          <reference field="7" count="0"/>
        </references>
      </pivotArea>
    </format>
    <format dxfId="79">
      <pivotArea dataOnly="0" labelOnly="1" fieldPosition="0">
        <references count="2">
          <reference field="6" count="1" selected="0">
            <x v="3"/>
          </reference>
          <reference field="7" count="0"/>
        </references>
      </pivotArea>
    </format>
    <format dxfId="78">
      <pivotArea dataOnly="0" labelOnly="1" fieldPosition="0">
        <references count="2">
          <reference field="6" count="1" selected="0">
            <x v="4"/>
          </reference>
          <reference field="7" count="0"/>
        </references>
      </pivotArea>
    </format>
    <format dxfId="77">
      <pivotArea dataOnly="0" labelOnly="1" fieldPosition="0">
        <references count="2">
          <reference field="6" count="1" selected="0">
            <x v="5"/>
          </reference>
          <reference field="7" count="0"/>
        </references>
      </pivotArea>
    </format>
    <format dxfId="76">
      <pivotArea outline="0" collapsedLevelsAreSubtotals="1" fieldPosition="0"/>
    </format>
    <format dxfId="75">
      <pivotArea dataOnly="0" labelOnly="1" fieldPosition="0">
        <references count="1">
          <reference field="6" count="0"/>
        </references>
      </pivotArea>
    </format>
    <format dxfId="74">
      <pivotArea dataOnly="0" labelOnly="1" grandRow="1" outline="0" fieldPosition="0"/>
    </format>
    <format dxfId="73">
      <pivotArea dataOnly="0" labelOnly="1" fieldPosition="0">
        <references count="2">
          <reference field="6" count="1" selected="0">
            <x v="0"/>
          </reference>
          <reference field="7" count="0"/>
        </references>
      </pivotArea>
    </format>
    <format dxfId="72">
      <pivotArea dataOnly="0" labelOnly="1" fieldPosition="0">
        <references count="2">
          <reference field="6" count="1" selected="0">
            <x v="1"/>
          </reference>
          <reference field="7" count="0"/>
        </references>
      </pivotArea>
    </format>
    <format dxfId="71">
      <pivotArea dataOnly="0" labelOnly="1" fieldPosition="0">
        <references count="2">
          <reference field="6" count="1" selected="0">
            <x v="2"/>
          </reference>
          <reference field="7" count="0"/>
        </references>
      </pivotArea>
    </format>
    <format dxfId="70">
      <pivotArea dataOnly="0" labelOnly="1" fieldPosition="0">
        <references count="2">
          <reference field="6" count="1" selected="0">
            <x v="3"/>
          </reference>
          <reference field="7" count="0"/>
        </references>
      </pivotArea>
    </format>
    <format dxfId="69">
      <pivotArea dataOnly="0" labelOnly="1" fieldPosition="0">
        <references count="2">
          <reference field="6" count="1" selected="0">
            <x v="4"/>
          </reference>
          <reference field="7" count="0"/>
        </references>
      </pivotArea>
    </format>
    <format dxfId="68">
      <pivotArea dataOnly="0" labelOnly="1" fieldPosition="0">
        <references count="2">
          <reference field="6" count="1" selected="0">
            <x v="5"/>
          </reference>
          <reference field="7" count="0"/>
        </references>
      </pivotArea>
    </format>
    <format dxfId="67">
      <pivotArea dataOnly="0" labelOnly="1" fieldPosition="0">
        <references count="1">
          <reference field="10" count="1">
            <x v="0"/>
          </reference>
        </references>
      </pivotArea>
    </format>
    <format dxfId="66">
      <pivotArea dataOnly="0" labelOnly="1" fieldPosition="0">
        <references count="1">
          <reference field="6" count="5">
            <x v="1"/>
            <x v="2"/>
            <x v="3"/>
            <x v="4"/>
            <x v="5"/>
          </reference>
        </references>
      </pivotArea>
    </format>
    <format dxfId="65">
      <pivotArea dataOnly="0" labelOnly="1" fieldPosition="0">
        <references count="2">
          <reference field="6" count="1" selected="0">
            <x v="1"/>
          </reference>
          <reference field="7" count="0"/>
        </references>
      </pivotArea>
    </format>
    <format dxfId="64">
      <pivotArea dataOnly="0" labelOnly="1" fieldPosition="0">
        <references count="2">
          <reference field="6" count="1" selected="0">
            <x v="2"/>
          </reference>
          <reference field="7" count="0"/>
        </references>
      </pivotArea>
    </format>
    <format dxfId="63">
      <pivotArea dataOnly="0" labelOnly="1" fieldPosition="0">
        <references count="2">
          <reference field="6" count="1" selected="0">
            <x v="3"/>
          </reference>
          <reference field="7" count="0"/>
        </references>
      </pivotArea>
    </format>
    <format dxfId="62">
      <pivotArea dataOnly="0" labelOnly="1" fieldPosition="0">
        <references count="2">
          <reference field="6" count="1" selected="0">
            <x v="4"/>
          </reference>
          <reference field="7" count="0"/>
        </references>
      </pivotArea>
    </format>
    <format dxfId="61">
      <pivotArea dataOnly="0" labelOnly="1" fieldPosition="0">
        <references count="2">
          <reference field="6" count="1" selected="0">
            <x v="5"/>
          </reference>
          <reference field="7" count="0"/>
        </references>
      </pivotArea>
    </format>
    <format dxfId="60">
      <pivotArea dataOnly="0" labelOnly="1" fieldPosition="0">
        <references count="3">
          <reference field="6" count="1" selected="0">
            <x v="0"/>
          </reference>
          <reference field="7" count="0" selected="0"/>
          <reference field="9" count="27">
            <x v="2"/>
            <x v="3"/>
            <x v="4"/>
            <x v="5"/>
            <x v="6"/>
            <x v="7"/>
            <x v="8"/>
            <x v="9"/>
            <x v="10"/>
            <x v="25"/>
            <x v="27"/>
            <x v="28"/>
            <x v="29"/>
            <x v="32"/>
            <x v="33"/>
            <x v="34"/>
            <x v="35"/>
            <x v="36"/>
            <x v="37"/>
            <x v="38"/>
            <x v="39"/>
            <x v="41"/>
            <x v="44"/>
            <x v="48"/>
            <x v="50"/>
            <x v="51"/>
            <x v="53"/>
          </reference>
        </references>
      </pivotArea>
    </format>
    <format dxfId="59">
      <pivotArea dataOnly="0" labelOnly="1" fieldPosition="0">
        <references count="3">
          <reference field="6" count="1" selected="0">
            <x v="1"/>
          </reference>
          <reference field="7" count="0" selected="0"/>
          <reference field="9" count="13"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3"/>
            <x v="24"/>
          </reference>
        </references>
      </pivotArea>
    </format>
    <format dxfId="58">
      <pivotArea dataOnly="0" labelOnly="1" fieldPosition="0">
        <references count="3">
          <reference field="6" count="1" selected="0">
            <x v="2"/>
          </reference>
          <reference field="7" count="0" selected="0"/>
          <reference field="9" count="6">
            <x v="0"/>
            <x v="1"/>
            <x v="30"/>
            <x v="31"/>
            <x v="55"/>
            <x v="56"/>
          </reference>
        </references>
      </pivotArea>
    </format>
    <format dxfId="57">
      <pivotArea dataOnly="0" labelOnly="1" fieldPosition="0">
        <references count="3">
          <reference field="6" count="1" selected="0">
            <x v="3"/>
          </reference>
          <reference field="7" count="0" selected="0"/>
          <reference field="9" count="8">
            <x v="42"/>
            <x v="43"/>
            <x v="45"/>
            <x v="46"/>
            <x v="47"/>
            <x v="49"/>
            <x v="52"/>
            <x v="54"/>
          </reference>
        </references>
      </pivotArea>
    </format>
    <format dxfId="56">
      <pivotArea dataOnly="0" labelOnly="1" fieldPosition="0">
        <references count="3">
          <reference field="6" count="1" selected="0">
            <x v="4"/>
          </reference>
          <reference field="7" count="0" selected="0"/>
          <reference field="9" count="1">
            <x v="57"/>
          </reference>
        </references>
      </pivotArea>
    </format>
    <format dxfId="55">
      <pivotArea dataOnly="0" labelOnly="1" fieldPosition="0">
        <references count="3">
          <reference field="6" count="1" selected="0">
            <x v="5"/>
          </reference>
          <reference field="7" count="0" selected="0"/>
          <reference field="9" count="1">
            <x v="58"/>
          </reference>
        </references>
      </pivotArea>
    </format>
    <format dxfId="54">
      <pivotArea dataOnly="0" labelOnly="1" fieldPosition="0">
        <references count="1">
          <reference field="6" count="1">
            <x v="0"/>
          </reference>
        </references>
      </pivotArea>
    </format>
    <format dxfId="53">
      <pivotArea dataOnly="0" labelOnly="1" fieldPosition="0">
        <references count="2">
          <reference field="6" count="1" selected="0">
            <x v="0"/>
          </reference>
          <reference field="7" count="0"/>
        </references>
      </pivotArea>
    </format>
    <format dxfId="52">
      <pivotArea dataOnly="0" labelOnly="1" fieldPosition="0">
        <references count="1">
          <reference field="6" count="1">
            <x v="1"/>
          </reference>
        </references>
      </pivotArea>
    </format>
    <format dxfId="51">
      <pivotArea dataOnly="0" labelOnly="1" fieldPosition="0">
        <references count="2">
          <reference field="6" count="1" selected="0">
            <x v="1"/>
          </reference>
          <reference field="7" count="0"/>
        </references>
      </pivotArea>
    </format>
    <format dxfId="50">
      <pivotArea dataOnly="0" labelOnly="1" fieldPosition="0">
        <references count="1">
          <reference field="6" count="1">
            <x v="2"/>
          </reference>
        </references>
      </pivotArea>
    </format>
    <format dxfId="49">
      <pivotArea dataOnly="0" labelOnly="1" fieldPosition="0">
        <references count="2">
          <reference field="6" count="1" selected="0">
            <x v="2"/>
          </reference>
          <reference field="7" count="0"/>
        </references>
      </pivotArea>
    </format>
    <format dxfId="48">
      <pivotArea dataOnly="0" labelOnly="1" fieldPosition="0">
        <references count="1">
          <reference field="6" count="1">
            <x v="3"/>
          </reference>
        </references>
      </pivotArea>
    </format>
    <format dxfId="47">
      <pivotArea dataOnly="0" labelOnly="1" fieldPosition="0">
        <references count="2">
          <reference field="6" count="1" selected="0">
            <x v="3"/>
          </reference>
          <reference field="7" count="0"/>
        </references>
      </pivotArea>
    </format>
    <format dxfId="46">
      <pivotArea dataOnly="0" labelOnly="1" fieldPosition="0">
        <references count="1">
          <reference field="6" count="1">
            <x v="4"/>
          </reference>
        </references>
      </pivotArea>
    </format>
    <format dxfId="45">
      <pivotArea dataOnly="0" labelOnly="1" fieldPosition="0">
        <references count="2">
          <reference field="6" count="1" selected="0">
            <x v="4"/>
          </reference>
          <reference field="7" count="0"/>
        </references>
      </pivotArea>
    </format>
    <format dxfId="44">
      <pivotArea dataOnly="0" labelOnly="1" fieldPosition="0">
        <references count="1">
          <reference field="6" count="1">
            <x v="5"/>
          </reference>
        </references>
      </pivotArea>
    </format>
    <format dxfId="43">
      <pivotArea dataOnly="0" labelOnly="1" fieldPosition="0">
        <references count="2">
          <reference field="6" count="1" selected="0">
            <x v="5"/>
          </reference>
          <reference field="7" count="0"/>
        </references>
      </pivotArea>
    </format>
    <format dxfId="42">
      <pivotArea dataOnly="0" labelOnly="1" fieldPosition="0">
        <references count="1">
          <reference field="10" count="0"/>
        </references>
      </pivotArea>
    </format>
    <format dxfId="41">
      <pivotArea dataOnly="0" labelOnly="1" grandCol="1" outline="0" fieldPosition="0"/>
    </format>
    <format dxfId="40">
      <pivotArea dataOnly="0" labelOnly="1" fieldPosition="0">
        <references count="1">
          <reference field="10" count="0"/>
        </references>
      </pivotArea>
    </format>
    <format dxfId="39">
      <pivotArea dataOnly="0" labelOnly="1" grandCol="1" outline="0" fieldPosition="0"/>
    </format>
    <format dxfId="38">
      <pivotArea dataOnly="0" labelOnly="1" fieldPosition="0">
        <references count="1">
          <reference field="10" count="0"/>
        </references>
      </pivotArea>
    </format>
    <format dxfId="3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opLeftCell="A55" workbookViewId="0">
      <selection activeCell="H69" sqref="H69"/>
    </sheetView>
    <sheetView workbookViewId="1"/>
  </sheetViews>
  <sheetFormatPr defaultRowHeight="15" x14ac:dyDescent="0.25"/>
  <cols>
    <col min="1" max="1" width="5.85546875" bestFit="1" customWidth="1"/>
    <col min="2" max="2" width="12.5703125" bestFit="1" customWidth="1"/>
    <col min="3" max="3" width="6.85546875" bestFit="1" customWidth="1"/>
    <col min="4" max="4" width="70.7109375" bestFit="1" customWidth="1"/>
    <col min="5" max="5" width="39.42578125" bestFit="1" customWidth="1"/>
  </cols>
  <sheetData>
    <row r="1" spans="1:5" x14ac:dyDescent="0.25">
      <c r="A1" s="2" t="s">
        <v>5</v>
      </c>
      <c r="B1" s="2" t="s">
        <v>6</v>
      </c>
      <c r="C1" s="2" t="s">
        <v>7</v>
      </c>
      <c r="D1" s="2" t="s">
        <v>8</v>
      </c>
      <c r="E1" s="3" t="s">
        <v>1705</v>
      </c>
    </row>
    <row r="2" spans="1:5" x14ac:dyDescent="0.25">
      <c r="A2" s="1" t="s">
        <v>23</v>
      </c>
      <c r="B2" s="1" t="s">
        <v>19</v>
      </c>
      <c r="C2" s="1" t="s">
        <v>360</v>
      </c>
      <c r="D2" s="1" t="s">
        <v>361</v>
      </c>
      <c r="E2" s="7" t="s">
        <v>1707</v>
      </c>
    </row>
    <row r="3" spans="1:5" x14ac:dyDescent="0.25">
      <c r="A3" s="1" t="s">
        <v>23</v>
      </c>
      <c r="B3" s="1" t="s">
        <v>19</v>
      </c>
      <c r="C3" s="1" t="s">
        <v>890</v>
      </c>
      <c r="D3" s="1" t="s">
        <v>891</v>
      </c>
      <c r="E3" s="7" t="s">
        <v>1707</v>
      </c>
    </row>
    <row r="4" spans="1:5" x14ac:dyDescent="0.25">
      <c r="A4" s="1" t="s">
        <v>23</v>
      </c>
      <c r="B4" s="1" t="s">
        <v>19</v>
      </c>
      <c r="C4" s="1" t="s">
        <v>747</v>
      </c>
      <c r="D4" s="1" t="s">
        <v>748</v>
      </c>
      <c r="E4" s="7" t="s">
        <v>1707</v>
      </c>
    </row>
    <row r="5" spans="1:5" x14ac:dyDescent="0.25">
      <c r="A5" s="1" t="s">
        <v>23</v>
      </c>
      <c r="B5" s="1" t="s">
        <v>19</v>
      </c>
      <c r="C5" s="1" t="s">
        <v>1117</v>
      </c>
      <c r="D5" s="1" t="s">
        <v>1118</v>
      </c>
      <c r="E5" s="7" t="s">
        <v>1707</v>
      </c>
    </row>
    <row r="6" spans="1:5" x14ac:dyDescent="0.25">
      <c r="A6" s="1" t="s">
        <v>23</v>
      </c>
      <c r="B6" s="1" t="s">
        <v>19</v>
      </c>
      <c r="C6" s="1" t="s">
        <v>258</v>
      </c>
      <c r="D6" s="1" t="s">
        <v>259</v>
      </c>
      <c r="E6" s="7" t="s">
        <v>1707</v>
      </c>
    </row>
    <row r="7" spans="1:5" x14ac:dyDescent="0.25">
      <c r="A7" s="1" t="s">
        <v>23</v>
      </c>
      <c r="B7" s="1" t="s">
        <v>19</v>
      </c>
      <c r="C7" s="1" t="s">
        <v>945</v>
      </c>
      <c r="D7" s="1" t="s">
        <v>946</v>
      </c>
      <c r="E7" s="7" t="s">
        <v>1708</v>
      </c>
    </row>
    <row r="8" spans="1:5" x14ac:dyDescent="0.25">
      <c r="A8" s="1" t="s">
        <v>23</v>
      </c>
      <c r="B8" s="1" t="s">
        <v>19</v>
      </c>
      <c r="C8" s="1" t="s">
        <v>277</v>
      </c>
      <c r="D8" s="1" t="s">
        <v>278</v>
      </c>
      <c r="E8" s="7" t="s">
        <v>1708</v>
      </c>
    </row>
    <row r="9" spans="1:5" x14ac:dyDescent="0.25">
      <c r="A9" s="1" t="s">
        <v>23</v>
      </c>
      <c r="B9" s="1" t="s">
        <v>19</v>
      </c>
      <c r="C9" s="1" t="s">
        <v>97</v>
      </c>
      <c r="D9" s="1" t="s">
        <v>98</v>
      </c>
      <c r="E9" s="7" t="s">
        <v>1708</v>
      </c>
    </row>
    <row r="10" spans="1:5" x14ac:dyDescent="0.25">
      <c r="A10" s="1" t="s">
        <v>23</v>
      </c>
      <c r="B10" s="1" t="s">
        <v>19</v>
      </c>
      <c r="C10" s="1" t="s">
        <v>397</v>
      </c>
      <c r="D10" s="1" t="s">
        <v>398</v>
      </c>
      <c r="E10" s="1" t="s">
        <v>1707</v>
      </c>
    </row>
    <row r="11" spans="1:5" x14ac:dyDescent="0.25">
      <c r="A11" s="1" t="s">
        <v>23</v>
      </c>
      <c r="B11" s="1" t="s">
        <v>19</v>
      </c>
      <c r="C11" s="1" t="s">
        <v>1108</v>
      </c>
      <c r="D11" s="1" t="s">
        <v>1709</v>
      </c>
      <c r="E11" s="1" t="s">
        <v>1707</v>
      </c>
    </row>
    <row r="12" spans="1:5" x14ac:dyDescent="0.25">
      <c r="A12" s="1" t="s">
        <v>23</v>
      </c>
      <c r="B12" s="1" t="s">
        <v>19</v>
      </c>
      <c r="C12" s="1" t="s">
        <v>208</v>
      </c>
      <c r="D12" s="1" t="s">
        <v>1710</v>
      </c>
      <c r="E12" s="1" t="s">
        <v>1708</v>
      </c>
    </row>
    <row r="13" spans="1:5" x14ac:dyDescent="0.25">
      <c r="A13" s="1" t="s">
        <v>23</v>
      </c>
      <c r="B13" s="1" t="s">
        <v>19</v>
      </c>
      <c r="C13" s="1" t="s">
        <v>250</v>
      </c>
      <c r="D13" s="1" t="s">
        <v>251</v>
      </c>
      <c r="E13" s="1" t="s">
        <v>1707</v>
      </c>
    </row>
    <row r="14" spans="1:5" x14ac:dyDescent="0.25">
      <c r="A14" s="1" t="s">
        <v>23</v>
      </c>
      <c r="B14" s="1" t="s">
        <v>19</v>
      </c>
      <c r="C14" s="1" t="s">
        <v>142</v>
      </c>
      <c r="D14" s="1" t="s">
        <v>143</v>
      </c>
      <c r="E14" s="1" t="s">
        <v>1707</v>
      </c>
    </row>
    <row r="15" spans="1:5" x14ac:dyDescent="0.25">
      <c r="A15" s="1" t="s">
        <v>23</v>
      </c>
      <c r="B15" s="1" t="s">
        <v>19</v>
      </c>
      <c r="C15" s="1" t="s">
        <v>761</v>
      </c>
      <c r="D15" s="1" t="s">
        <v>762</v>
      </c>
      <c r="E15" s="1" t="s">
        <v>1708</v>
      </c>
    </row>
    <row r="16" spans="1:5" x14ac:dyDescent="0.25">
      <c r="A16" s="1" t="s">
        <v>23</v>
      </c>
      <c r="B16" s="1" t="s">
        <v>19</v>
      </c>
      <c r="C16" s="1" t="s">
        <v>811</v>
      </c>
      <c r="D16" s="1" t="s">
        <v>812</v>
      </c>
      <c r="E16" s="1" t="s">
        <v>1708</v>
      </c>
    </row>
    <row r="17" spans="1:5" x14ac:dyDescent="0.25">
      <c r="A17" s="1" t="s">
        <v>23</v>
      </c>
      <c r="B17" s="1" t="s">
        <v>19</v>
      </c>
      <c r="C17" s="1" t="s">
        <v>775</v>
      </c>
      <c r="D17" s="1" t="s">
        <v>776</v>
      </c>
      <c r="E17" s="1" t="s">
        <v>1707</v>
      </c>
    </row>
    <row r="18" spans="1:5" x14ac:dyDescent="0.25">
      <c r="A18" s="1" t="s">
        <v>23</v>
      </c>
      <c r="B18" s="1" t="s">
        <v>19</v>
      </c>
      <c r="C18" s="1" t="s">
        <v>151</v>
      </c>
      <c r="D18" s="1" t="s">
        <v>152</v>
      </c>
      <c r="E18" s="1" t="s">
        <v>1708</v>
      </c>
    </row>
    <row r="19" spans="1:5" x14ac:dyDescent="0.25">
      <c r="A19" s="1" t="s">
        <v>23</v>
      </c>
      <c r="B19" s="1" t="s">
        <v>19</v>
      </c>
      <c r="C19" s="1" t="s">
        <v>226</v>
      </c>
      <c r="D19" s="1" t="s">
        <v>227</v>
      </c>
      <c r="E19" s="1" t="s">
        <v>1708</v>
      </c>
    </row>
    <row r="20" spans="1:5" x14ac:dyDescent="0.25">
      <c r="A20" s="1" t="s">
        <v>23</v>
      </c>
      <c r="B20" s="1" t="s">
        <v>19</v>
      </c>
      <c r="C20" s="1" t="s">
        <v>103</v>
      </c>
      <c r="D20" s="1" t="s">
        <v>104</v>
      </c>
      <c r="E20" s="1" t="s">
        <v>1707</v>
      </c>
    </row>
    <row r="21" spans="1:5" x14ac:dyDescent="0.25">
      <c r="A21" s="1" t="s">
        <v>23</v>
      </c>
      <c r="B21" s="1" t="s">
        <v>19</v>
      </c>
      <c r="C21" s="1" t="s">
        <v>1142</v>
      </c>
      <c r="D21" s="1" t="s">
        <v>1711</v>
      </c>
      <c r="E21" s="1" t="s">
        <v>1707</v>
      </c>
    </row>
    <row r="22" spans="1:5" x14ac:dyDescent="0.25">
      <c r="A22" s="1" t="s">
        <v>23</v>
      </c>
      <c r="B22" s="1" t="s">
        <v>19</v>
      </c>
      <c r="C22" s="1" t="s">
        <v>963</v>
      </c>
      <c r="D22" s="1" t="s">
        <v>1712</v>
      </c>
      <c r="E22" s="1" t="s">
        <v>1708</v>
      </c>
    </row>
    <row r="23" spans="1:5" x14ac:dyDescent="0.25">
      <c r="A23" s="1" t="s">
        <v>23</v>
      </c>
      <c r="B23" s="1" t="s">
        <v>19</v>
      </c>
      <c r="C23" s="1" t="s">
        <v>88</v>
      </c>
      <c r="D23" s="1" t="s">
        <v>89</v>
      </c>
      <c r="E23" s="1" t="s">
        <v>1707</v>
      </c>
    </row>
    <row r="24" spans="1:5" x14ac:dyDescent="0.25">
      <c r="A24" s="1" t="s">
        <v>23</v>
      </c>
      <c r="B24" s="1" t="s">
        <v>19</v>
      </c>
      <c r="C24" s="1" t="s">
        <v>159</v>
      </c>
      <c r="D24" s="1" t="s">
        <v>160</v>
      </c>
      <c r="E24" s="1" t="s">
        <v>1707</v>
      </c>
    </row>
    <row r="25" spans="1:5" x14ac:dyDescent="0.25">
      <c r="A25" s="1" t="s">
        <v>23</v>
      </c>
      <c r="B25" s="1" t="s">
        <v>19</v>
      </c>
      <c r="C25" s="1" t="s">
        <v>438</v>
      </c>
      <c r="D25" s="1" t="s">
        <v>439</v>
      </c>
      <c r="E25" s="1" t="s">
        <v>1707</v>
      </c>
    </row>
    <row r="26" spans="1:5" x14ac:dyDescent="0.25">
      <c r="A26" s="1" t="s">
        <v>23</v>
      </c>
      <c r="B26" s="1" t="s">
        <v>19</v>
      </c>
      <c r="C26" s="1" t="s">
        <v>1045</v>
      </c>
      <c r="D26" s="1" t="s">
        <v>1046</v>
      </c>
      <c r="E26" s="1" t="s">
        <v>1708</v>
      </c>
    </row>
    <row r="27" spans="1:5" x14ac:dyDescent="0.25">
      <c r="A27" s="1" t="s">
        <v>23</v>
      </c>
      <c r="B27" s="1" t="s">
        <v>19</v>
      </c>
      <c r="C27" s="1" t="s">
        <v>116</v>
      </c>
      <c r="D27" s="1" t="s">
        <v>117</v>
      </c>
      <c r="E27" s="1" t="s">
        <v>1708</v>
      </c>
    </row>
    <row r="28" spans="1:5" x14ac:dyDescent="0.25">
      <c r="A28" s="1" t="s">
        <v>23</v>
      </c>
      <c r="B28" s="1" t="s">
        <v>19</v>
      </c>
      <c r="C28" s="1" t="s">
        <v>542</v>
      </c>
      <c r="D28" s="1" t="s">
        <v>543</v>
      </c>
      <c r="E28" s="1" t="s">
        <v>1707</v>
      </c>
    </row>
    <row r="29" spans="1:5" x14ac:dyDescent="0.25">
      <c r="A29" s="1" t="s">
        <v>23</v>
      </c>
      <c r="B29" s="1" t="s">
        <v>19</v>
      </c>
      <c r="C29" s="1" t="s">
        <v>237</v>
      </c>
      <c r="D29" s="1" t="s">
        <v>238</v>
      </c>
      <c r="E29" s="1" t="s">
        <v>1707</v>
      </c>
    </row>
    <row r="30" spans="1:5" x14ac:dyDescent="0.25">
      <c r="A30" s="1" t="s">
        <v>93</v>
      </c>
      <c r="B30" s="1" t="s">
        <v>19</v>
      </c>
      <c r="C30" s="1" t="s">
        <v>168</v>
      </c>
      <c r="D30" s="1" t="s">
        <v>169</v>
      </c>
      <c r="E30" s="1" t="s">
        <v>1708</v>
      </c>
    </row>
    <row r="31" spans="1:5" x14ac:dyDescent="0.25">
      <c r="A31" s="1" t="s">
        <v>93</v>
      </c>
      <c r="B31" s="1" t="s">
        <v>19</v>
      </c>
      <c r="C31" s="1" t="s">
        <v>184</v>
      </c>
      <c r="D31" s="1" t="s">
        <v>185</v>
      </c>
      <c r="E31" s="1" t="s">
        <v>1708</v>
      </c>
    </row>
    <row r="32" spans="1:5" x14ac:dyDescent="0.25">
      <c r="A32" s="1" t="s">
        <v>93</v>
      </c>
      <c r="B32" s="1" t="s">
        <v>19</v>
      </c>
      <c r="C32" s="1" t="s">
        <v>995</v>
      </c>
      <c r="D32" s="1" t="s">
        <v>1713</v>
      </c>
      <c r="E32" s="1" t="s">
        <v>1707</v>
      </c>
    </row>
    <row r="33" spans="1:5" x14ac:dyDescent="0.25">
      <c r="A33" s="1" t="s">
        <v>93</v>
      </c>
      <c r="B33" s="1" t="s">
        <v>19</v>
      </c>
      <c r="C33" s="1" t="s">
        <v>349</v>
      </c>
      <c r="D33" s="1" t="s">
        <v>350</v>
      </c>
      <c r="E33" s="1" t="s">
        <v>1707</v>
      </c>
    </row>
    <row r="34" spans="1:5" x14ac:dyDescent="0.25">
      <c r="A34" s="1" t="s">
        <v>93</v>
      </c>
      <c r="B34" s="1" t="s">
        <v>19</v>
      </c>
      <c r="C34" s="1" t="s">
        <v>754</v>
      </c>
      <c r="D34" s="1" t="s">
        <v>755</v>
      </c>
      <c r="E34" s="1" t="s">
        <v>1707</v>
      </c>
    </row>
    <row r="35" spans="1:5" x14ac:dyDescent="0.25">
      <c r="A35" s="1" t="s">
        <v>93</v>
      </c>
      <c r="B35" s="1" t="s">
        <v>19</v>
      </c>
      <c r="C35" s="1" t="s">
        <v>138</v>
      </c>
      <c r="D35" s="1" t="s">
        <v>139</v>
      </c>
      <c r="E35" s="1" t="s">
        <v>1707</v>
      </c>
    </row>
    <row r="36" spans="1:5" x14ac:dyDescent="0.25">
      <c r="A36" s="1" t="s">
        <v>93</v>
      </c>
      <c r="B36" s="1" t="s">
        <v>19</v>
      </c>
      <c r="C36" s="1" t="s">
        <v>124</v>
      </c>
      <c r="D36" s="1" t="s">
        <v>125</v>
      </c>
      <c r="E36" s="1" t="s">
        <v>1707</v>
      </c>
    </row>
    <row r="37" spans="1:5" x14ac:dyDescent="0.25">
      <c r="A37" s="1" t="s">
        <v>93</v>
      </c>
      <c r="B37" s="1" t="s">
        <v>19</v>
      </c>
      <c r="C37" s="1" t="s">
        <v>216</v>
      </c>
      <c r="D37" s="1" t="s">
        <v>217</v>
      </c>
      <c r="E37" s="1" t="s">
        <v>1707</v>
      </c>
    </row>
    <row r="38" spans="1:5" x14ac:dyDescent="0.25">
      <c r="A38" s="1" t="s">
        <v>93</v>
      </c>
      <c r="B38" s="1" t="s">
        <v>19</v>
      </c>
      <c r="C38" s="1" t="s">
        <v>133</v>
      </c>
      <c r="D38" s="1" t="s">
        <v>134</v>
      </c>
      <c r="E38" s="1" t="s">
        <v>1707</v>
      </c>
    </row>
    <row r="39" spans="1:5" x14ac:dyDescent="0.25">
      <c r="A39" s="1" t="s">
        <v>93</v>
      </c>
      <c r="B39" s="1" t="s">
        <v>19</v>
      </c>
      <c r="C39" s="1" t="s">
        <v>345</v>
      </c>
      <c r="D39" s="1" t="s">
        <v>346</v>
      </c>
      <c r="E39" s="1" t="s">
        <v>1707</v>
      </c>
    </row>
    <row r="40" spans="1:5" x14ac:dyDescent="0.25">
      <c r="A40" s="1" t="s">
        <v>93</v>
      </c>
      <c r="B40" s="1" t="s">
        <v>19</v>
      </c>
      <c r="C40" s="1" t="s">
        <v>107</v>
      </c>
      <c r="D40" s="1" t="s">
        <v>108</v>
      </c>
      <c r="E40" s="1" t="s">
        <v>1707</v>
      </c>
    </row>
    <row r="41" spans="1:5" x14ac:dyDescent="0.25">
      <c r="A41" s="1" t="s">
        <v>93</v>
      </c>
      <c r="B41" s="1" t="s">
        <v>19</v>
      </c>
      <c r="C41" s="1" t="s">
        <v>111</v>
      </c>
      <c r="D41" s="1" t="s">
        <v>112</v>
      </c>
      <c r="E41" s="1" t="s">
        <v>1707</v>
      </c>
    </row>
    <row r="42" spans="1:5" x14ac:dyDescent="0.25">
      <c r="A42" s="1" t="s">
        <v>93</v>
      </c>
      <c r="B42" s="1" t="s">
        <v>19</v>
      </c>
      <c r="C42" s="1" t="s">
        <v>94</v>
      </c>
      <c r="D42" s="1" t="s">
        <v>95</v>
      </c>
      <c r="E42" s="1" t="s">
        <v>1707</v>
      </c>
    </row>
    <row r="43" spans="1:5" x14ac:dyDescent="0.25">
      <c r="A43" s="1" t="s">
        <v>93</v>
      </c>
      <c r="B43" s="1" t="s">
        <v>19</v>
      </c>
      <c r="C43" s="1" t="s">
        <v>320</v>
      </c>
      <c r="D43" s="1" t="s">
        <v>321</v>
      </c>
      <c r="E43" s="1" t="s">
        <v>1707</v>
      </c>
    </row>
    <row r="44" spans="1:5" x14ac:dyDescent="0.25">
      <c r="A44" s="1" t="s">
        <v>68</v>
      </c>
      <c r="B44" s="1" t="s">
        <v>19</v>
      </c>
      <c r="C44" s="1" t="s">
        <v>844</v>
      </c>
      <c r="D44" s="1" t="s">
        <v>845</v>
      </c>
      <c r="E44" s="1" t="s">
        <v>1707</v>
      </c>
    </row>
    <row r="45" spans="1:5" x14ac:dyDescent="0.25">
      <c r="A45" s="1" t="s">
        <v>68</v>
      </c>
      <c r="B45" s="1" t="s">
        <v>19</v>
      </c>
      <c r="C45" s="1" t="s">
        <v>1275</v>
      </c>
      <c r="D45" s="1" t="s">
        <v>1276</v>
      </c>
      <c r="E45" s="1" t="s">
        <v>1707</v>
      </c>
    </row>
    <row r="46" spans="1:5" x14ac:dyDescent="0.25">
      <c r="A46" s="1" t="s">
        <v>68</v>
      </c>
      <c r="B46" s="1" t="s">
        <v>19</v>
      </c>
      <c r="C46" s="1" t="s">
        <v>786</v>
      </c>
      <c r="D46" s="1" t="s">
        <v>787</v>
      </c>
      <c r="E46" s="1" t="s">
        <v>1708</v>
      </c>
    </row>
    <row r="47" spans="1:5" x14ac:dyDescent="0.25">
      <c r="A47" s="1" t="s">
        <v>68</v>
      </c>
      <c r="B47" s="1" t="s">
        <v>19</v>
      </c>
      <c r="C47" s="1" t="s">
        <v>474</v>
      </c>
      <c r="D47" s="1" t="s">
        <v>475</v>
      </c>
      <c r="E47" s="1" t="s">
        <v>1707</v>
      </c>
    </row>
    <row r="48" spans="1:5" x14ac:dyDescent="0.25">
      <c r="A48" s="1" t="s">
        <v>68</v>
      </c>
      <c r="B48" s="1" t="s">
        <v>19</v>
      </c>
      <c r="C48" s="1" t="s">
        <v>331</v>
      </c>
      <c r="D48" s="1" t="s">
        <v>332</v>
      </c>
      <c r="E48" s="1" t="s">
        <v>1708</v>
      </c>
    </row>
    <row r="49" spans="1:5" x14ac:dyDescent="0.25">
      <c r="A49" s="1" t="s">
        <v>68</v>
      </c>
      <c r="B49" s="1" t="s">
        <v>19</v>
      </c>
      <c r="C49" s="1" t="s">
        <v>1164</v>
      </c>
      <c r="D49" s="1" t="s">
        <v>1165</v>
      </c>
      <c r="E49" s="1" t="s">
        <v>1707</v>
      </c>
    </row>
    <row r="50" spans="1:5" x14ac:dyDescent="0.25">
      <c r="A50" s="1" t="s">
        <v>18</v>
      </c>
      <c r="B50" s="1" t="s">
        <v>19</v>
      </c>
      <c r="C50" s="1" t="s">
        <v>245</v>
      </c>
      <c r="D50" s="1" t="s">
        <v>246</v>
      </c>
      <c r="E50" s="8" t="s">
        <v>1708</v>
      </c>
    </row>
    <row r="51" spans="1:5" x14ac:dyDescent="0.25">
      <c r="A51" s="1" t="s">
        <v>18</v>
      </c>
      <c r="B51" s="1" t="s">
        <v>19</v>
      </c>
      <c r="C51" s="1" t="s">
        <v>1213</v>
      </c>
      <c r="D51" s="1" t="s">
        <v>1214</v>
      </c>
      <c r="E51" s="7" t="s">
        <v>1718</v>
      </c>
    </row>
    <row r="52" spans="1:5" x14ac:dyDescent="0.25">
      <c r="A52" s="1" t="s">
        <v>18</v>
      </c>
      <c r="B52" s="1" t="s">
        <v>19</v>
      </c>
      <c r="C52" s="1" t="s">
        <v>302</v>
      </c>
      <c r="D52" s="1" t="s">
        <v>303</v>
      </c>
      <c r="E52" s="7" t="s">
        <v>1718</v>
      </c>
    </row>
    <row r="53" spans="1:5" x14ac:dyDescent="0.25">
      <c r="A53" s="1" t="s">
        <v>18</v>
      </c>
      <c r="B53" s="1" t="s">
        <v>19</v>
      </c>
      <c r="C53" s="1" t="s">
        <v>164</v>
      </c>
      <c r="D53" s="1" t="s">
        <v>165</v>
      </c>
      <c r="E53" s="7" t="s">
        <v>1718</v>
      </c>
    </row>
    <row r="54" spans="1:5" x14ac:dyDescent="0.25">
      <c r="A54" s="1" t="s">
        <v>18</v>
      </c>
      <c r="B54" s="1" t="s">
        <v>19</v>
      </c>
      <c r="C54" s="1" t="s">
        <v>146</v>
      </c>
      <c r="D54" s="1" t="s">
        <v>147</v>
      </c>
      <c r="E54" s="7" t="s">
        <v>1718</v>
      </c>
    </row>
    <row r="55" spans="1:5" x14ac:dyDescent="0.25">
      <c r="A55" s="1" t="s">
        <v>18</v>
      </c>
      <c r="B55" s="1" t="s">
        <v>19</v>
      </c>
      <c r="C55" s="1" t="s">
        <v>171</v>
      </c>
      <c r="D55" s="1" t="s">
        <v>172</v>
      </c>
      <c r="E55" s="7" t="s">
        <v>1718</v>
      </c>
    </row>
    <row r="56" spans="1:5" x14ac:dyDescent="0.25">
      <c r="A56" s="1" t="s">
        <v>18</v>
      </c>
      <c r="B56" s="1" t="s">
        <v>19</v>
      </c>
      <c r="C56" s="1" t="s">
        <v>82</v>
      </c>
      <c r="D56" s="1" t="s">
        <v>83</v>
      </c>
      <c r="E56" s="7" t="s">
        <v>1718</v>
      </c>
    </row>
    <row r="57" spans="1:5" x14ac:dyDescent="0.25">
      <c r="A57" s="1" t="s">
        <v>18</v>
      </c>
      <c r="B57" s="1" t="s">
        <v>19</v>
      </c>
      <c r="C57" s="1" t="s">
        <v>739</v>
      </c>
      <c r="D57" s="1" t="s">
        <v>740</v>
      </c>
      <c r="E57" s="7" t="s">
        <v>1718</v>
      </c>
    </row>
    <row r="58" spans="1:5" x14ac:dyDescent="0.25">
      <c r="A58" s="1" t="s">
        <v>18</v>
      </c>
      <c r="B58" s="1" t="s">
        <v>19</v>
      </c>
      <c r="C58" s="1" t="s">
        <v>77</v>
      </c>
      <c r="D58" s="1" t="s">
        <v>78</v>
      </c>
      <c r="E58" s="7" t="s">
        <v>1718</v>
      </c>
    </row>
    <row r="59" spans="1:5" x14ac:dyDescent="0.25">
      <c r="A59" s="1" t="s">
        <v>585</v>
      </c>
      <c r="B59" s="1" t="s">
        <v>19</v>
      </c>
      <c r="C59" s="1" t="s">
        <v>586</v>
      </c>
      <c r="D59" s="1" t="s">
        <v>587</v>
      </c>
      <c r="E59" s="1" t="s">
        <v>1707</v>
      </c>
    </row>
    <row r="60" spans="1:5" x14ac:dyDescent="0.25">
      <c r="A60" s="1" t="s">
        <v>200</v>
      </c>
      <c r="B60" s="1" t="s">
        <v>19</v>
      </c>
      <c r="C60" s="1" t="s">
        <v>201</v>
      </c>
      <c r="D60" s="1" t="s">
        <v>202</v>
      </c>
      <c r="E60" s="1" t="s">
        <v>1708</v>
      </c>
    </row>
    <row r="61" spans="1:5" x14ac:dyDescent="0.25">
      <c r="A61" t="s">
        <v>23</v>
      </c>
      <c r="B61" t="s">
        <v>19</v>
      </c>
      <c r="C61" t="s">
        <v>208</v>
      </c>
      <c r="D61" t="s">
        <v>209</v>
      </c>
      <c r="E61" s="1" t="s">
        <v>1708</v>
      </c>
    </row>
    <row r="62" spans="1:5" x14ac:dyDescent="0.25">
      <c r="A62" t="s">
        <v>23</v>
      </c>
      <c r="B62" t="s">
        <v>19</v>
      </c>
      <c r="C62" t="s">
        <v>963</v>
      </c>
      <c r="D62" t="s">
        <v>964</v>
      </c>
      <c r="E62" s="1" t="s">
        <v>1708</v>
      </c>
    </row>
    <row r="63" spans="1:5" x14ac:dyDescent="0.25">
      <c r="A63" t="s">
        <v>93</v>
      </c>
      <c r="B63" t="s">
        <v>19</v>
      </c>
      <c r="C63" t="s">
        <v>995</v>
      </c>
      <c r="D63" t="s">
        <v>996</v>
      </c>
      <c r="E63" s="1" t="s">
        <v>1707</v>
      </c>
    </row>
    <row r="64" spans="1:5" x14ac:dyDescent="0.25">
      <c r="A64" t="s">
        <v>23</v>
      </c>
      <c r="B64" t="s">
        <v>19</v>
      </c>
      <c r="C64" t="s">
        <v>1108</v>
      </c>
      <c r="D64" t="s">
        <v>1109</v>
      </c>
      <c r="E64" s="1" t="s">
        <v>1707</v>
      </c>
    </row>
    <row r="65" spans="1:5" x14ac:dyDescent="0.25">
      <c r="A65" t="s">
        <v>23</v>
      </c>
      <c r="B65" t="s">
        <v>19</v>
      </c>
      <c r="C65" t="s">
        <v>1142</v>
      </c>
      <c r="D65" t="s">
        <v>1143</v>
      </c>
      <c r="E65" s="1" t="s">
        <v>1707</v>
      </c>
    </row>
    <row r="66" spans="1:5" x14ac:dyDescent="0.25">
      <c r="A66" s="1" t="s">
        <v>18</v>
      </c>
      <c r="B66" s="1" t="s">
        <v>1414</v>
      </c>
      <c r="C66" s="1" t="s">
        <v>1444</v>
      </c>
      <c r="D66" s="1" t="s">
        <v>1445</v>
      </c>
      <c r="E66" s="1" t="s">
        <v>1708</v>
      </c>
    </row>
    <row r="67" spans="1:5" x14ac:dyDescent="0.25">
      <c r="A67" s="1" t="s">
        <v>93</v>
      </c>
      <c r="B67" s="1" t="s">
        <v>1414</v>
      </c>
      <c r="C67" s="1" t="s">
        <v>1454</v>
      </c>
      <c r="D67" s="1" t="s">
        <v>1455</v>
      </c>
      <c r="E67" s="1" t="s">
        <v>1708</v>
      </c>
    </row>
    <row r="68" spans="1:5" x14ac:dyDescent="0.25">
      <c r="A68" s="1" t="s">
        <v>585</v>
      </c>
      <c r="B68" s="1" t="s">
        <v>19</v>
      </c>
      <c r="C68" s="1" t="s">
        <v>1605</v>
      </c>
      <c r="D68" s="1" t="s">
        <v>1606</v>
      </c>
      <c r="E68" s="1" t="s">
        <v>1707</v>
      </c>
    </row>
    <row r="69" spans="1:5" x14ac:dyDescent="0.25">
      <c r="A69" s="1" t="s">
        <v>18</v>
      </c>
      <c r="B69" s="1" t="s">
        <v>19</v>
      </c>
      <c r="C69" s="1" t="s">
        <v>1609</v>
      </c>
      <c r="D69" s="1" t="s">
        <v>1610</v>
      </c>
      <c r="E69" s="7" t="s">
        <v>1718</v>
      </c>
    </row>
    <row r="70" spans="1:5" x14ac:dyDescent="0.25">
      <c r="A70" s="1" t="s">
        <v>93</v>
      </c>
      <c r="B70" s="1" t="s">
        <v>1414</v>
      </c>
      <c r="C70" s="1" t="s">
        <v>1616</v>
      </c>
      <c r="D70" s="1" t="s">
        <v>1617</v>
      </c>
      <c r="E70" s="1" t="s">
        <v>1708</v>
      </c>
    </row>
  </sheetData>
  <autoFilter ref="A1:E70" xr:uid="{00000000-0009-0000-0000-000000000000}"/>
  <sortState xmlns:xlrd2="http://schemas.microsoft.com/office/spreadsheetml/2017/richdata2" ref="A2:D778">
    <sortCondition ref="A2:A778"/>
    <sortCondition ref="B2:B778"/>
    <sortCondition ref="C2:C7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3"/>
  <sheetViews>
    <sheetView workbookViewId="0">
      <selection activeCell="F83" sqref="F2:F83"/>
    </sheetView>
    <sheetView workbookViewId="1">
      <selection activeCell="K31" sqref="K31"/>
    </sheetView>
  </sheetViews>
  <sheetFormatPr defaultRowHeight="15" x14ac:dyDescent="0.25"/>
  <cols>
    <col min="1" max="1" width="9" bestFit="1" customWidth="1"/>
    <col min="2" max="2" width="7" bestFit="1" customWidth="1"/>
    <col min="3" max="3" width="18" bestFit="1" customWidth="1"/>
    <col min="4" max="4" width="15.7109375" bestFit="1" customWidth="1"/>
    <col min="5" max="5" width="14.5703125" bestFit="1" customWidth="1"/>
    <col min="6" max="6" width="8.28515625" bestFit="1" customWidth="1"/>
    <col min="7" max="7" width="6.140625" bestFit="1" customWidth="1"/>
    <col min="8" max="8" width="13.140625" bestFit="1" customWidth="1"/>
    <col min="9" max="9" width="7.28515625" bestFit="1" customWidth="1"/>
    <col min="10" max="10" width="74.140625" bestFit="1" customWidth="1"/>
    <col min="11" max="11" width="74.140625" customWidth="1"/>
    <col min="12" max="12" width="12" bestFit="1" customWidth="1"/>
    <col min="13" max="13" width="17.85546875" bestFit="1" customWidth="1"/>
    <col min="14" max="14" width="11.7109375" bestFit="1" customWidth="1"/>
    <col min="15" max="15" width="9.7109375" bestFit="1" customWidth="1"/>
    <col min="16" max="16" width="10.28515625" bestFit="1" customWidth="1"/>
    <col min="17" max="17" width="10.140625" bestFit="1" customWidth="1"/>
  </cols>
  <sheetData>
    <row r="1" spans="1:21" x14ac:dyDescent="0.25">
      <c r="A1" s="2" t="s">
        <v>0</v>
      </c>
      <c r="B1" s="2" t="s">
        <v>1</v>
      </c>
      <c r="C1" s="2" t="s">
        <v>74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1706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10" t="s">
        <v>1704</v>
      </c>
      <c r="S1" s="3" t="s">
        <v>1722</v>
      </c>
      <c r="T1" s="10" t="s">
        <v>1724</v>
      </c>
      <c r="U1" s="10" t="s">
        <v>1723</v>
      </c>
    </row>
    <row r="2" spans="1:21" x14ac:dyDescent="0.25">
      <c r="A2" s="1">
        <v>12130763</v>
      </c>
      <c r="B2" s="1">
        <v>171351</v>
      </c>
      <c r="C2" s="1" t="s">
        <v>55</v>
      </c>
      <c r="D2" s="1" t="s">
        <v>42</v>
      </c>
      <c r="E2" s="1" t="s">
        <v>33</v>
      </c>
      <c r="F2" s="1" t="s">
        <v>17</v>
      </c>
      <c r="G2" s="1" t="s">
        <v>18</v>
      </c>
      <c r="H2" s="1" t="s">
        <v>19</v>
      </c>
      <c r="I2" s="1" t="s">
        <v>82</v>
      </c>
      <c r="J2" s="1" t="s">
        <v>83</v>
      </c>
      <c r="K2" s="1" t="str">
        <f>VLOOKUP(J2,'IU Major Match'!$D$2:$E$65,2,FALSE)</f>
        <v>Can be Transferred to Bachelor of Engineering</v>
      </c>
      <c r="L2" s="1">
        <v>96171263223</v>
      </c>
      <c r="M2" s="1" t="s">
        <v>79</v>
      </c>
      <c r="N2" s="1">
        <v>108</v>
      </c>
      <c r="O2" s="1">
        <v>81</v>
      </c>
      <c r="P2" s="1">
        <v>6</v>
      </c>
      <c r="Q2" s="1">
        <v>21</v>
      </c>
      <c r="R2" s="5">
        <f>(O2+P2)/N2</f>
        <v>0.80555555555555558</v>
      </c>
      <c r="S2" s="13" t="str">
        <f>IF(R2&lt;=50%,"=&lt;50","&gt;50")</f>
        <v>&gt;50</v>
      </c>
      <c r="T2" s="14">
        <f>ROUNDUP(Q2/15,0)</f>
        <v>2</v>
      </c>
      <c r="U2" s="14">
        <f>T2/2</f>
        <v>1</v>
      </c>
    </row>
    <row r="3" spans="1:21" x14ac:dyDescent="0.25">
      <c r="A3" s="1">
        <v>22131118</v>
      </c>
      <c r="B3" s="1">
        <v>175941</v>
      </c>
      <c r="C3" s="1" t="s">
        <v>1634</v>
      </c>
      <c r="D3" s="1" t="s">
        <v>268</v>
      </c>
      <c r="E3" s="1" t="s">
        <v>838</v>
      </c>
      <c r="F3" s="1" t="s">
        <v>1635</v>
      </c>
      <c r="G3" s="1" t="s">
        <v>23</v>
      </c>
      <c r="H3" s="1" t="s">
        <v>19</v>
      </c>
      <c r="I3" s="1" t="s">
        <v>159</v>
      </c>
      <c r="J3" s="1" t="s">
        <v>160</v>
      </c>
      <c r="K3" s="1" t="str">
        <f>VLOOKUP(J3,'IU Major Match'!$D$2:$E$65,2,FALSE)</f>
        <v xml:space="preserve">Major exists in IU </v>
      </c>
      <c r="L3" s="1">
        <v>96181708432</v>
      </c>
      <c r="M3" s="1" t="s">
        <v>79</v>
      </c>
      <c r="N3" s="1">
        <v>99</v>
      </c>
      <c r="O3" s="1">
        <v>78</v>
      </c>
      <c r="P3" s="1">
        <v>9</v>
      </c>
      <c r="Q3" s="1">
        <v>12</v>
      </c>
      <c r="R3" s="5">
        <f t="shared" ref="R3:R66" si="0">(O3+P3)/N3</f>
        <v>0.87878787878787878</v>
      </c>
      <c r="S3" s="13" t="str">
        <f t="shared" ref="S3:S66" si="1">IF(R3&lt;=50%,"=&lt;50","&gt;50")</f>
        <v>&gt;50</v>
      </c>
      <c r="T3" s="14">
        <f t="shared" ref="T3:T66" si="2">ROUNDUP(Q3/15,0)</f>
        <v>1</v>
      </c>
      <c r="U3" s="14">
        <f t="shared" ref="U3:U66" si="3">T3/2</f>
        <v>0.5</v>
      </c>
    </row>
    <row r="4" spans="1:21" x14ac:dyDescent="0.25">
      <c r="A4" s="1">
        <v>12530729</v>
      </c>
      <c r="B4" s="1">
        <v>219551</v>
      </c>
      <c r="C4" s="1" t="s">
        <v>126</v>
      </c>
      <c r="D4" s="1" t="s">
        <v>265</v>
      </c>
      <c r="E4" s="1" t="s">
        <v>43</v>
      </c>
      <c r="F4" s="1" t="s">
        <v>17</v>
      </c>
      <c r="G4" s="1" t="s">
        <v>18</v>
      </c>
      <c r="H4" s="1" t="s">
        <v>19</v>
      </c>
      <c r="I4" s="1" t="s">
        <v>302</v>
      </c>
      <c r="J4" s="1" t="s">
        <v>303</v>
      </c>
      <c r="K4" s="1" t="str">
        <f>VLOOKUP(J4,'IU Major Match'!$D$2:$E$65,2,FALSE)</f>
        <v>Can be Transferred to Bachelor of Engineering</v>
      </c>
      <c r="L4" s="1">
        <v>96171717936</v>
      </c>
      <c r="M4" s="1" t="s">
        <v>99</v>
      </c>
      <c r="N4" s="1">
        <v>108</v>
      </c>
      <c r="O4" s="1">
        <v>3</v>
      </c>
      <c r="P4" s="1">
        <v>10</v>
      </c>
      <c r="Q4" s="1">
        <v>99</v>
      </c>
      <c r="R4" s="5">
        <f t="shared" si="0"/>
        <v>0.12037037037037036</v>
      </c>
      <c r="S4" s="13" t="str">
        <f t="shared" si="1"/>
        <v>=&lt;50</v>
      </c>
      <c r="T4" s="14">
        <f t="shared" si="2"/>
        <v>7</v>
      </c>
      <c r="U4" s="14">
        <f t="shared" si="3"/>
        <v>3.5</v>
      </c>
    </row>
    <row r="5" spans="1:21" x14ac:dyDescent="0.25">
      <c r="A5" s="1">
        <v>12510123</v>
      </c>
      <c r="B5" s="1">
        <v>217740</v>
      </c>
      <c r="C5" s="1" t="s">
        <v>24</v>
      </c>
      <c r="D5" s="1" t="s">
        <v>33</v>
      </c>
      <c r="E5" s="1" t="s">
        <v>1625</v>
      </c>
      <c r="F5" s="1" t="s">
        <v>17</v>
      </c>
      <c r="G5" s="1" t="s">
        <v>93</v>
      </c>
      <c r="H5" s="1" t="s">
        <v>19</v>
      </c>
      <c r="I5" s="1" t="s">
        <v>124</v>
      </c>
      <c r="J5" s="1" t="s">
        <v>125</v>
      </c>
      <c r="K5" s="1" t="str">
        <f>VLOOKUP(J5,'IU Major Match'!$D$2:$E$65,2,FALSE)</f>
        <v xml:space="preserve">Major exists in IU </v>
      </c>
      <c r="L5" s="1">
        <v>96176928192</v>
      </c>
      <c r="M5" s="1" t="s">
        <v>242</v>
      </c>
      <c r="N5" s="1">
        <v>99</v>
      </c>
      <c r="O5" s="1">
        <v>30</v>
      </c>
      <c r="P5" s="1">
        <v>18</v>
      </c>
      <c r="Q5" s="1">
        <v>51</v>
      </c>
      <c r="R5" s="5">
        <f t="shared" si="0"/>
        <v>0.48484848484848486</v>
      </c>
      <c r="S5" s="13" t="str">
        <f t="shared" si="1"/>
        <v>=&lt;50</v>
      </c>
      <c r="T5" s="14">
        <f t="shared" si="2"/>
        <v>4</v>
      </c>
      <c r="U5" s="14">
        <f t="shared" si="3"/>
        <v>2</v>
      </c>
    </row>
    <row r="6" spans="1:21" x14ac:dyDescent="0.25">
      <c r="A6" s="1">
        <v>12133696</v>
      </c>
      <c r="B6" s="1">
        <v>175143</v>
      </c>
      <c r="C6" s="1" t="s">
        <v>24</v>
      </c>
      <c r="D6" s="1" t="s">
        <v>21</v>
      </c>
      <c r="E6" s="1" t="s">
        <v>1607</v>
      </c>
      <c r="F6" s="1" t="s">
        <v>17</v>
      </c>
      <c r="G6" s="1" t="s">
        <v>93</v>
      </c>
      <c r="H6" s="1" t="s">
        <v>19</v>
      </c>
      <c r="I6" s="1" t="s">
        <v>111</v>
      </c>
      <c r="J6" s="1" t="s">
        <v>112</v>
      </c>
      <c r="K6" s="1" t="str">
        <f>VLOOKUP(J6,'IU Major Match'!$D$2:$E$65,2,FALSE)</f>
        <v xml:space="preserve">Major exists in IU </v>
      </c>
      <c r="L6" s="1">
        <v>96181998037</v>
      </c>
      <c r="M6" s="1" t="s">
        <v>79</v>
      </c>
      <c r="N6" s="1">
        <v>99</v>
      </c>
      <c r="O6" s="1">
        <v>28</v>
      </c>
      <c r="P6" s="1">
        <v>9</v>
      </c>
      <c r="Q6" s="1">
        <v>63</v>
      </c>
      <c r="R6" s="5">
        <f t="shared" si="0"/>
        <v>0.37373737373737376</v>
      </c>
      <c r="S6" s="13" t="str">
        <f t="shared" si="1"/>
        <v>=&lt;50</v>
      </c>
      <c r="T6" s="14">
        <f t="shared" si="2"/>
        <v>5</v>
      </c>
      <c r="U6" s="14">
        <f t="shared" si="3"/>
        <v>2.5</v>
      </c>
    </row>
    <row r="7" spans="1:21" x14ac:dyDescent="0.25">
      <c r="A7" s="1">
        <v>12431190</v>
      </c>
      <c r="B7" s="1">
        <v>211045</v>
      </c>
      <c r="C7" s="1" t="s">
        <v>233</v>
      </c>
      <c r="D7" s="1" t="s">
        <v>145</v>
      </c>
      <c r="E7" s="1" t="s">
        <v>1636</v>
      </c>
      <c r="F7" s="1" t="s">
        <v>17</v>
      </c>
      <c r="G7" s="1" t="s">
        <v>18</v>
      </c>
      <c r="H7" s="1" t="s">
        <v>19</v>
      </c>
      <c r="I7" s="1" t="s">
        <v>739</v>
      </c>
      <c r="J7" s="1" t="s">
        <v>740</v>
      </c>
      <c r="K7" s="1" t="str">
        <f>VLOOKUP(J7,'IU Major Match'!$D$2:$E$65,2,FALSE)</f>
        <v>Can be Transferred to Bachelor of Engineering</v>
      </c>
      <c r="L7" s="1">
        <v>76546827</v>
      </c>
      <c r="M7" s="1" t="s">
        <v>113</v>
      </c>
      <c r="N7" s="1">
        <v>108</v>
      </c>
      <c r="O7" s="1">
        <v>18</v>
      </c>
      <c r="P7" s="1">
        <v>13</v>
      </c>
      <c r="Q7" s="1">
        <v>77</v>
      </c>
      <c r="R7" s="5">
        <f t="shared" si="0"/>
        <v>0.28703703703703703</v>
      </c>
      <c r="S7" s="13" t="str">
        <f t="shared" si="1"/>
        <v>=&lt;50</v>
      </c>
      <c r="T7" s="14">
        <f t="shared" si="2"/>
        <v>6</v>
      </c>
      <c r="U7" s="14">
        <f t="shared" si="3"/>
        <v>3</v>
      </c>
    </row>
    <row r="8" spans="1:21" x14ac:dyDescent="0.25">
      <c r="A8" s="1">
        <v>82330128</v>
      </c>
      <c r="B8" s="1">
        <v>200973</v>
      </c>
      <c r="C8" s="1" t="s">
        <v>233</v>
      </c>
      <c r="D8" s="1" t="s">
        <v>286</v>
      </c>
      <c r="E8" s="1" t="s">
        <v>514</v>
      </c>
      <c r="F8" s="1" t="s">
        <v>1637</v>
      </c>
      <c r="G8" s="1" t="s">
        <v>93</v>
      </c>
      <c r="H8" s="1" t="s">
        <v>19</v>
      </c>
      <c r="I8" s="1" t="s">
        <v>107</v>
      </c>
      <c r="J8" s="1" t="s">
        <v>108</v>
      </c>
      <c r="K8" s="1" t="str">
        <f>VLOOKUP(J8,'IU Major Match'!$D$2:$E$65,2,FALSE)</f>
        <v xml:space="preserve">Major exists in IU </v>
      </c>
      <c r="L8" s="1">
        <v>70496292</v>
      </c>
      <c r="M8" s="1" t="s">
        <v>90</v>
      </c>
      <c r="N8" s="1">
        <v>99</v>
      </c>
      <c r="O8" s="1">
        <v>36</v>
      </c>
      <c r="P8" s="1">
        <v>12</v>
      </c>
      <c r="Q8" s="1">
        <v>51</v>
      </c>
      <c r="R8" s="5">
        <f t="shared" si="0"/>
        <v>0.48484848484848486</v>
      </c>
      <c r="S8" s="13" t="str">
        <f t="shared" si="1"/>
        <v>=&lt;50</v>
      </c>
      <c r="T8" s="14">
        <f t="shared" si="2"/>
        <v>4</v>
      </c>
      <c r="U8" s="14">
        <f t="shared" si="3"/>
        <v>2</v>
      </c>
    </row>
    <row r="9" spans="1:21" x14ac:dyDescent="0.25">
      <c r="A9" s="1">
        <v>31630651</v>
      </c>
      <c r="B9" s="1">
        <v>106423</v>
      </c>
      <c r="C9" s="1" t="s">
        <v>275</v>
      </c>
      <c r="D9" s="1" t="s">
        <v>325</v>
      </c>
      <c r="E9" s="1" t="s">
        <v>951</v>
      </c>
      <c r="F9" s="1" t="s">
        <v>1638</v>
      </c>
      <c r="G9" s="1" t="s">
        <v>23</v>
      </c>
      <c r="H9" s="1" t="s">
        <v>19</v>
      </c>
      <c r="I9" s="1" t="s">
        <v>159</v>
      </c>
      <c r="J9" s="1" t="s">
        <v>160</v>
      </c>
      <c r="K9" s="1" t="str">
        <f>VLOOKUP(J9,'IU Major Match'!$D$2:$E$65,2,FALSE)</f>
        <v xml:space="preserve">Major exists in IU </v>
      </c>
      <c r="L9" s="1">
        <v>96181740625</v>
      </c>
      <c r="M9" s="1" t="s">
        <v>1626</v>
      </c>
      <c r="N9" s="1">
        <v>99</v>
      </c>
      <c r="O9" s="1">
        <v>95</v>
      </c>
      <c r="P9" s="1">
        <v>4</v>
      </c>
      <c r="Q9" s="1">
        <v>0</v>
      </c>
      <c r="R9" s="5">
        <f t="shared" si="0"/>
        <v>1</v>
      </c>
      <c r="S9" s="13" t="str">
        <f t="shared" si="1"/>
        <v>&gt;50</v>
      </c>
      <c r="T9" s="14">
        <f t="shared" si="2"/>
        <v>0</v>
      </c>
      <c r="U9" s="14">
        <f t="shared" si="3"/>
        <v>0</v>
      </c>
    </row>
    <row r="10" spans="1:21" x14ac:dyDescent="0.25">
      <c r="A10" s="1">
        <v>12120062</v>
      </c>
      <c r="B10" s="1">
        <v>200183</v>
      </c>
      <c r="C10" s="1" t="s">
        <v>287</v>
      </c>
      <c r="D10" s="1" t="s">
        <v>38</v>
      </c>
      <c r="E10" s="1" t="s">
        <v>1639</v>
      </c>
      <c r="F10" s="1" t="s">
        <v>17</v>
      </c>
      <c r="G10" s="1" t="s">
        <v>23</v>
      </c>
      <c r="H10" s="1" t="s">
        <v>19</v>
      </c>
      <c r="I10" s="1" t="s">
        <v>116</v>
      </c>
      <c r="J10" s="1" t="s">
        <v>117</v>
      </c>
      <c r="K10" s="1" t="str">
        <f>VLOOKUP(J10,'IU Major Match'!$D$2:$E$65,2,FALSE)</f>
        <v>Major Dont exists in IU</v>
      </c>
      <c r="L10" s="1">
        <v>76500763</v>
      </c>
      <c r="M10" s="1" t="s">
        <v>90</v>
      </c>
      <c r="N10" s="1">
        <v>99</v>
      </c>
      <c r="O10" s="1">
        <v>55</v>
      </c>
      <c r="P10" s="1">
        <v>18</v>
      </c>
      <c r="Q10" s="1">
        <v>26</v>
      </c>
      <c r="R10" s="5">
        <f t="shared" si="0"/>
        <v>0.73737373737373735</v>
      </c>
      <c r="S10" s="13" t="str">
        <f t="shared" si="1"/>
        <v>&gt;50</v>
      </c>
      <c r="T10" s="14">
        <f t="shared" si="2"/>
        <v>2</v>
      </c>
      <c r="U10" s="14">
        <f t="shared" si="3"/>
        <v>1</v>
      </c>
    </row>
    <row r="11" spans="1:21" x14ac:dyDescent="0.25">
      <c r="A11" s="1">
        <v>22430656</v>
      </c>
      <c r="B11" s="1">
        <v>215342</v>
      </c>
      <c r="C11" s="1" t="s">
        <v>1640</v>
      </c>
      <c r="D11" s="1" t="s">
        <v>225</v>
      </c>
      <c r="E11" s="1" t="s">
        <v>1457</v>
      </c>
      <c r="F11" s="1" t="s">
        <v>1635</v>
      </c>
      <c r="G11" s="1" t="s">
        <v>93</v>
      </c>
      <c r="H11" s="1" t="s">
        <v>19</v>
      </c>
      <c r="I11" s="1" t="s">
        <v>94</v>
      </c>
      <c r="J11" s="1" t="s">
        <v>95</v>
      </c>
      <c r="K11" s="1" t="str">
        <f>VLOOKUP(J11,'IU Major Match'!$D$2:$E$65,2,FALSE)</f>
        <v xml:space="preserve">Major exists in IU </v>
      </c>
      <c r="L11" s="1">
        <v>96176784215</v>
      </c>
      <c r="M11" s="1" t="s">
        <v>113</v>
      </c>
      <c r="N11" s="1">
        <v>99</v>
      </c>
      <c r="O11" s="1">
        <v>18</v>
      </c>
      <c r="P11" s="1">
        <v>16</v>
      </c>
      <c r="Q11" s="1">
        <v>69</v>
      </c>
      <c r="R11" s="5">
        <f t="shared" si="0"/>
        <v>0.34343434343434343</v>
      </c>
      <c r="S11" s="13" t="str">
        <f t="shared" si="1"/>
        <v>=&lt;50</v>
      </c>
      <c r="T11" s="14">
        <f t="shared" si="2"/>
        <v>5</v>
      </c>
      <c r="U11" s="14">
        <f t="shared" si="3"/>
        <v>2.5</v>
      </c>
    </row>
    <row r="12" spans="1:21" x14ac:dyDescent="0.25">
      <c r="A12" s="1">
        <v>42420001</v>
      </c>
      <c r="B12" s="1">
        <v>209188</v>
      </c>
      <c r="C12" s="1" t="s">
        <v>342</v>
      </c>
      <c r="D12" s="1" t="s">
        <v>640</v>
      </c>
      <c r="E12" s="1" t="s">
        <v>1641</v>
      </c>
      <c r="F12" s="1" t="s">
        <v>1642</v>
      </c>
      <c r="G12" s="1" t="s">
        <v>93</v>
      </c>
      <c r="H12" s="1" t="s">
        <v>19</v>
      </c>
      <c r="I12" s="1" t="s">
        <v>107</v>
      </c>
      <c r="J12" s="1" t="s">
        <v>108</v>
      </c>
      <c r="K12" s="1" t="str">
        <f>VLOOKUP(J12,'IU Major Match'!$D$2:$E$65,2,FALSE)</f>
        <v xml:space="preserve">Major exists in IU </v>
      </c>
      <c r="L12" s="1">
        <v>96181663090</v>
      </c>
      <c r="M12" s="1" t="s">
        <v>128</v>
      </c>
      <c r="N12" s="1">
        <v>99</v>
      </c>
      <c r="O12" s="1">
        <v>69</v>
      </c>
      <c r="P12" s="1">
        <v>15</v>
      </c>
      <c r="Q12" s="1">
        <v>15</v>
      </c>
      <c r="R12" s="5">
        <f t="shared" si="0"/>
        <v>0.84848484848484851</v>
      </c>
      <c r="S12" s="13" t="str">
        <f t="shared" si="1"/>
        <v>&gt;50</v>
      </c>
      <c r="T12" s="14">
        <f t="shared" si="2"/>
        <v>1</v>
      </c>
      <c r="U12" s="14">
        <f t="shared" si="3"/>
        <v>0.5</v>
      </c>
    </row>
    <row r="13" spans="1:21" x14ac:dyDescent="0.25">
      <c r="A13" s="1">
        <v>82430228</v>
      </c>
      <c r="B13" s="1">
        <v>215761</v>
      </c>
      <c r="C13" s="1" t="s">
        <v>145</v>
      </c>
      <c r="D13" s="1" t="s">
        <v>119</v>
      </c>
      <c r="E13" s="1" t="s">
        <v>1463</v>
      </c>
      <c r="F13" s="1" t="s">
        <v>1637</v>
      </c>
      <c r="G13" s="1" t="s">
        <v>23</v>
      </c>
      <c r="H13" s="1" t="s">
        <v>19</v>
      </c>
      <c r="I13" s="1" t="s">
        <v>1142</v>
      </c>
      <c r="J13" s="1" t="s">
        <v>1143</v>
      </c>
      <c r="K13" s="1" t="str">
        <f>VLOOKUP(J13,'IU Major Match'!$D$2:$E$65,2,FALSE)</f>
        <v xml:space="preserve">Major exists in IU </v>
      </c>
      <c r="L13" s="1">
        <v>3488535</v>
      </c>
      <c r="M13" s="1" t="s">
        <v>113</v>
      </c>
      <c r="N13" s="1">
        <v>100</v>
      </c>
      <c r="O13" s="1">
        <v>9</v>
      </c>
      <c r="P13" s="1">
        <v>12</v>
      </c>
      <c r="Q13" s="1">
        <v>79</v>
      </c>
      <c r="R13" s="5">
        <f t="shared" si="0"/>
        <v>0.21</v>
      </c>
      <c r="S13" s="13" t="str">
        <f t="shared" si="1"/>
        <v>=&lt;50</v>
      </c>
      <c r="T13" s="14">
        <f t="shared" si="2"/>
        <v>6</v>
      </c>
      <c r="U13" s="14">
        <f t="shared" si="3"/>
        <v>3</v>
      </c>
    </row>
    <row r="14" spans="1:21" x14ac:dyDescent="0.25">
      <c r="A14" s="1">
        <v>82230303</v>
      </c>
      <c r="B14" s="1">
        <v>193404</v>
      </c>
      <c r="C14" s="1" t="s">
        <v>145</v>
      </c>
      <c r="D14" s="1" t="s">
        <v>399</v>
      </c>
      <c r="E14" s="1" t="s">
        <v>1452</v>
      </c>
      <c r="F14" s="1" t="s">
        <v>1637</v>
      </c>
      <c r="G14" s="1" t="s">
        <v>23</v>
      </c>
      <c r="H14" s="1" t="s">
        <v>19</v>
      </c>
      <c r="I14" s="1" t="s">
        <v>103</v>
      </c>
      <c r="J14" s="1" t="s">
        <v>104</v>
      </c>
      <c r="K14" s="1" t="str">
        <f>VLOOKUP(J14,'IU Major Match'!$D$2:$E$65,2,FALSE)</f>
        <v xml:space="preserve">Major exists in IU </v>
      </c>
      <c r="L14" s="1">
        <v>81535707</v>
      </c>
      <c r="M14" s="1" t="s">
        <v>153</v>
      </c>
      <c r="N14" s="1">
        <v>100</v>
      </c>
      <c r="O14" s="1">
        <v>6</v>
      </c>
      <c r="P14" s="1">
        <v>9</v>
      </c>
      <c r="Q14" s="1">
        <v>85</v>
      </c>
      <c r="R14" s="5">
        <f t="shared" si="0"/>
        <v>0.15</v>
      </c>
      <c r="S14" s="13" t="str">
        <f t="shared" si="1"/>
        <v>=&lt;50</v>
      </c>
      <c r="T14" s="14">
        <f t="shared" si="2"/>
        <v>6</v>
      </c>
      <c r="U14" s="14">
        <f t="shared" si="3"/>
        <v>3</v>
      </c>
    </row>
    <row r="15" spans="1:21" x14ac:dyDescent="0.25">
      <c r="A15" s="1">
        <v>82530524</v>
      </c>
      <c r="B15" s="1">
        <v>225725</v>
      </c>
      <c r="C15" s="1" t="s">
        <v>435</v>
      </c>
      <c r="D15" s="1" t="s">
        <v>92</v>
      </c>
      <c r="E15" s="1" t="s">
        <v>979</v>
      </c>
      <c r="F15" s="1" t="s">
        <v>1637</v>
      </c>
      <c r="G15" s="1" t="s">
        <v>23</v>
      </c>
      <c r="H15" s="1" t="s">
        <v>19</v>
      </c>
      <c r="I15" s="1" t="s">
        <v>142</v>
      </c>
      <c r="J15" s="1" t="s">
        <v>143</v>
      </c>
      <c r="K15" s="1" t="str">
        <f>VLOOKUP(J15,'IU Major Match'!$D$2:$E$65,2,FALSE)</f>
        <v xml:space="preserve">Major exists in IU </v>
      </c>
      <c r="L15" s="1">
        <v>96181918211</v>
      </c>
      <c r="M15" s="1" t="s">
        <v>99</v>
      </c>
      <c r="N15" s="1">
        <v>99</v>
      </c>
      <c r="O15" s="1">
        <v>43</v>
      </c>
      <c r="P15" s="1">
        <v>19</v>
      </c>
      <c r="Q15" s="1">
        <v>37</v>
      </c>
      <c r="R15" s="5">
        <f t="shared" si="0"/>
        <v>0.6262626262626263</v>
      </c>
      <c r="S15" s="13" t="str">
        <f t="shared" si="1"/>
        <v>&gt;50</v>
      </c>
      <c r="T15" s="14">
        <f t="shared" si="2"/>
        <v>3</v>
      </c>
      <c r="U15" s="14">
        <f t="shared" si="3"/>
        <v>1.5</v>
      </c>
    </row>
    <row r="16" spans="1:21" x14ac:dyDescent="0.25">
      <c r="A16" s="1">
        <v>12431901</v>
      </c>
      <c r="B16" s="1">
        <v>213696</v>
      </c>
      <c r="C16" s="1" t="s">
        <v>454</v>
      </c>
      <c r="D16" s="1" t="s">
        <v>367</v>
      </c>
      <c r="E16" s="1" t="s">
        <v>1613</v>
      </c>
      <c r="F16" s="1" t="s">
        <v>17</v>
      </c>
      <c r="G16" s="1" t="s">
        <v>93</v>
      </c>
      <c r="H16" s="1" t="s">
        <v>19</v>
      </c>
      <c r="I16" s="1" t="s">
        <v>216</v>
      </c>
      <c r="J16" s="1" t="s">
        <v>217</v>
      </c>
      <c r="K16" s="1" t="str">
        <f>VLOOKUP(J16,'IU Major Match'!$D$2:$E$65,2,FALSE)</f>
        <v xml:space="preserve">Major exists in IU </v>
      </c>
      <c r="L16" s="1">
        <v>96176688567</v>
      </c>
      <c r="M16" s="1" t="s">
        <v>113</v>
      </c>
      <c r="N16" s="1">
        <v>99</v>
      </c>
      <c r="O16" s="1">
        <v>21</v>
      </c>
      <c r="P16" s="1">
        <v>9</v>
      </c>
      <c r="Q16" s="1">
        <v>69</v>
      </c>
      <c r="R16" s="5">
        <f t="shared" si="0"/>
        <v>0.30303030303030304</v>
      </c>
      <c r="S16" s="13" t="str">
        <f t="shared" si="1"/>
        <v>=&lt;50</v>
      </c>
      <c r="T16" s="14">
        <f t="shared" si="2"/>
        <v>5</v>
      </c>
      <c r="U16" s="14">
        <f t="shared" si="3"/>
        <v>2.5</v>
      </c>
    </row>
    <row r="17" spans="1:21" x14ac:dyDescent="0.25">
      <c r="A17" s="1">
        <v>82330318</v>
      </c>
      <c r="B17" s="1">
        <v>203753</v>
      </c>
      <c r="C17" s="1" t="s">
        <v>458</v>
      </c>
      <c r="D17" s="1" t="s">
        <v>848</v>
      </c>
      <c r="E17" s="1" t="s">
        <v>1151</v>
      </c>
      <c r="F17" s="1" t="s">
        <v>1637</v>
      </c>
      <c r="G17" s="1" t="s">
        <v>93</v>
      </c>
      <c r="H17" s="1" t="s">
        <v>19</v>
      </c>
      <c r="I17" s="1" t="s">
        <v>111</v>
      </c>
      <c r="J17" s="1" t="s">
        <v>112</v>
      </c>
      <c r="K17" s="1" t="str">
        <f>VLOOKUP(J17,'IU Major Match'!$D$2:$E$65,2,FALSE)</f>
        <v xml:space="preserve">Major exists in IU </v>
      </c>
      <c r="L17" s="1">
        <v>71984754</v>
      </c>
      <c r="M17" s="1" t="s">
        <v>90</v>
      </c>
      <c r="N17" s="1">
        <v>99</v>
      </c>
      <c r="O17" s="1">
        <v>6</v>
      </c>
      <c r="P17" s="1">
        <v>12</v>
      </c>
      <c r="Q17" s="1">
        <v>81</v>
      </c>
      <c r="R17" s="5">
        <f t="shared" si="0"/>
        <v>0.18181818181818182</v>
      </c>
      <c r="S17" s="13" t="str">
        <f t="shared" si="1"/>
        <v>=&lt;50</v>
      </c>
      <c r="T17" s="14">
        <f t="shared" si="2"/>
        <v>6</v>
      </c>
      <c r="U17" s="14">
        <f t="shared" si="3"/>
        <v>3</v>
      </c>
    </row>
    <row r="18" spans="1:21" x14ac:dyDescent="0.25">
      <c r="A18" s="1">
        <v>12133046</v>
      </c>
      <c r="B18" s="1">
        <v>172556</v>
      </c>
      <c r="C18" s="1" t="s">
        <v>836</v>
      </c>
      <c r="D18" s="1" t="s">
        <v>494</v>
      </c>
      <c r="E18" s="1" t="s">
        <v>536</v>
      </c>
      <c r="F18" s="1" t="s">
        <v>17</v>
      </c>
      <c r="G18" s="1" t="s">
        <v>23</v>
      </c>
      <c r="H18" s="1" t="s">
        <v>19</v>
      </c>
      <c r="I18" s="1" t="s">
        <v>88</v>
      </c>
      <c r="J18" s="1" t="s">
        <v>89</v>
      </c>
      <c r="K18" s="1" t="str">
        <f>VLOOKUP(J18,'IU Major Match'!$D$2:$E$65,2,FALSE)</f>
        <v xml:space="preserve">Major exists in IU </v>
      </c>
      <c r="L18" s="1">
        <v>70427970</v>
      </c>
      <c r="M18" s="1" t="s">
        <v>79</v>
      </c>
      <c r="N18" s="1">
        <v>99</v>
      </c>
      <c r="O18" s="1">
        <v>87</v>
      </c>
      <c r="P18" s="1">
        <v>12</v>
      </c>
      <c r="Q18" s="1">
        <v>0</v>
      </c>
      <c r="R18" s="5">
        <f t="shared" si="0"/>
        <v>1</v>
      </c>
      <c r="S18" s="13" t="str">
        <f t="shared" si="1"/>
        <v>&gt;50</v>
      </c>
      <c r="T18" s="14">
        <f t="shared" si="2"/>
        <v>0</v>
      </c>
      <c r="U18" s="14">
        <f t="shared" si="3"/>
        <v>0</v>
      </c>
    </row>
    <row r="19" spans="1:21" x14ac:dyDescent="0.25">
      <c r="A19" s="1">
        <v>12331405</v>
      </c>
      <c r="B19" s="1">
        <v>201727</v>
      </c>
      <c r="C19" s="1" t="s">
        <v>1643</v>
      </c>
      <c r="D19" s="1" t="s">
        <v>325</v>
      </c>
      <c r="E19" s="1" t="s">
        <v>1644</v>
      </c>
      <c r="F19" s="1" t="s">
        <v>17</v>
      </c>
      <c r="G19" s="1" t="s">
        <v>23</v>
      </c>
      <c r="H19" s="1" t="s">
        <v>19</v>
      </c>
      <c r="I19" s="1" t="s">
        <v>151</v>
      </c>
      <c r="J19" s="1" t="s">
        <v>152</v>
      </c>
      <c r="K19" s="1" t="str">
        <f>VLOOKUP(J19,'IU Major Match'!$D$2:$E$65,2,FALSE)</f>
        <v>Major Dont exists in IU</v>
      </c>
      <c r="L19" s="1">
        <v>9613632791</v>
      </c>
      <c r="M19" s="1" t="s">
        <v>90</v>
      </c>
      <c r="N19" s="1">
        <v>105</v>
      </c>
      <c r="O19" s="1">
        <v>33</v>
      </c>
      <c r="P19" s="1">
        <v>15</v>
      </c>
      <c r="Q19" s="1">
        <v>57</v>
      </c>
      <c r="R19" s="5">
        <f t="shared" si="0"/>
        <v>0.45714285714285713</v>
      </c>
      <c r="S19" s="13" t="str">
        <f t="shared" si="1"/>
        <v>=&lt;50</v>
      </c>
      <c r="T19" s="14">
        <f t="shared" si="2"/>
        <v>4</v>
      </c>
      <c r="U19" s="14">
        <f t="shared" si="3"/>
        <v>2</v>
      </c>
    </row>
    <row r="20" spans="1:21" x14ac:dyDescent="0.25">
      <c r="A20" s="1">
        <v>42230381</v>
      </c>
      <c r="B20" s="1">
        <v>189266</v>
      </c>
      <c r="C20" s="1" t="s">
        <v>190</v>
      </c>
      <c r="D20" s="1" t="s">
        <v>43</v>
      </c>
      <c r="E20" s="1" t="s">
        <v>979</v>
      </c>
      <c r="F20" s="1" t="s">
        <v>1642</v>
      </c>
      <c r="G20" s="1" t="s">
        <v>18</v>
      </c>
      <c r="H20" s="1" t="s">
        <v>19</v>
      </c>
      <c r="I20" s="1" t="s">
        <v>164</v>
      </c>
      <c r="J20" s="1" t="s">
        <v>165</v>
      </c>
      <c r="K20" s="1" t="str">
        <f>VLOOKUP(J20,'IU Major Match'!$D$2:$E$65,2,FALSE)</f>
        <v>Can be Transferred to Bachelor of Engineering</v>
      </c>
      <c r="L20" s="1">
        <v>96181984526</v>
      </c>
      <c r="M20" s="1" t="s">
        <v>153</v>
      </c>
      <c r="N20" s="1">
        <v>108</v>
      </c>
      <c r="O20" s="1">
        <v>47</v>
      </c>
      <c r="P20" s="1">
        <v>14</v>
      </c>
      <c r="Q20" s="1">
        <v>47</v>
      </c>
      <c r="R20" s="5">
        <f t="shared" si="0"/>
        <v>0.56481481481481477</v>
      </c>
      <c r="S20" s="13" t="str">
        <f t="shared" si="1"/>
        <v>&gt;50</v>
      </c>
      <c r="T20" s="14">
        <f t="shared" si="2"/>
        <v>4</v>
      </c>
      <c r="U20" s="14">
        <f t="shared" si="3"/>
        <v>2</v>
      </c>
    </row>
    <row r="21" spans="1:21" x14ac:dyDescent="0.25">
      <c r="A21" s="1">
        <v>52231346</v>
      </c>
      <c r="B21" s="1">
        <v>195491</v>
      </c>
      <c r="C21" s="1" t="s">
        <v>1645</v>
      </c>
      <c r="D21" s="1" t="s">
        <v>376</v>
      </c>
      <c r="E21" s="1" t="s">
        <v>1646</v>
      </c>
      <c r="F21" s="1" t="s">
        <v>1647</v>
      </c>
      <c r="G21" s="1" t="s">
        <v>93</v>
      </c>
      <c r="H21" s="1" t="s">
        <v>19</v>
      </c>
      <c r="I21" s="1" t="s">
        <v>107</v>
      </c>
      <c r="J21" s="1" t="s">
        <v>108</v>
      </c>
      <c r="K21" s="1" t="str">
        <f>VLOOKUP(J21,'IU Major Match'!$D$2:$E$65,2,FALSE)</f>
        <v xml:space="preserve">Major exists in IU </v>
      </c>
      <c r="L21" s="1">
        <v>81254389</v>
      </c>
      <c r="M21" s="1" t="s">
        <v>153</v>
      </c>
      <c r="N21" s="1">
        <v>99</v>
      </c>
      <c r="O21" s="1">
        <v>57</v>
      </c>
      <c r="P21" s="1">
        <v>15</v>
      </c>
      <c r="Q21" s="1">
        <v>27</v>
      </c>
      <c r="R21" s="5">
        <f t="shared" si="0"/>
        <v>0.72727272727272729</v>
      </c>
      <c r="S21" s="13" t="str">
        <f t="shared" si="1"/>
        <v>&gt;50</v>
      </c>
      <c r="T21" s="14">
        <f t="shared" si="2"/>
        <v>2</v>
      </c>
      <c r="U21" s="14">
        <f t="shared" si="3"/>
        <v>1</v>
      </c>
    </row>
    <row r="22" spans="1:21" x14ac:dyDescent="0.25">
      <c r="A22" s="1">
        <v>12130299</v>
      </c>
      <c r="B22" s="1">
        <v>167373</v>
      </c>
      <c r="C22" s="1" t="s">
        <v>1648</v>
      </c>
      <c r="D22" s="1" t="s">
        <v>38</v>
      </c>
      <c r="E22" s="1" t="s">
        <v>1621</v>
      </c>
      <c r="F22" s="1" t="s">
        <v>17</v>
      </c>
      <c r="G22" s="1" t="s">
        <v>93</v>
      </c>
      <c r="H22" s="1" t="s">
        <v>19</v>
      </c>
      <c r="I22" s="1" t="s">
        <v>216</v>
      </c>
      <c r="J22" s="1" t="s">
        <v>217</v>
      </c>
      <c r="K22" s="1" t="str">
        <f>VLOOKUP(J22,'IU Major Match'!$D$2:$E$65,2,FALSE)</f>
        <v xml:space="preserve">Major exists in IU </v>
      </c>
      <c r="L22" s="1">
        <v>96178756238</v>
      </c>
      <c r="M22" s="1" t="s">
        <v>79</v>
      </c>
      <c r="N22" s="1">
        <v>99</v>
      </c>
      <c r="O22" s="1">
        <v>21</v>
      </c>
      <c r="P22" s="1">
        <v>12</v>
      </c>
      <c r="Q22" s="1">
        <v>66</v>
      </c>
      <c r="R22" s="5">
        <f t="shared" si="0"/>
        <v>0.33333333333333331</v>
      </c>
      <c r="S22" s="13" t="str">
        <f t="shared" si="1"/>
        <v>=&lt;50</v>
      </c>
      <c r="T22" s="14">
        <f t="shared" si="2"/>
        <v>5</v>
      </c>
      <c r="U22" s="14">
        <f t="shared" si="3"/>
        <v>2.5</v>
      </c>
    </row>
    <row r="23" spans="1:21" x14ac:dyDescent="0.25">
      <c r="A23" s="1">
        <v>82230580</v>
      </c>
      <c r="B23" s="1">
        <v>196550</v>
      </c>
      <c r="C23" s="1" t="s">
        <v>1186</v>
      </c>
      <c r="D23" s="1" t="s">
        <v>129</v>
      </c>
      <c r="E23" s="1" t="s">
        <v>1615</v>
      </c>
      <c r="F23" s="1" t="s">
        <v>1637</v>
      </c>
      <c r="G23" s="1" t="s">
        <v>23</v>
      </c>
      <c r="H23" s="1" t="s">
        <v>19</v>
      </c>
      <c r="I23" s="1" t="s">
        <v>103</v>
      </c>
      <c r="J23" s="1" t="s">
        <v>104</v>
      </c>
      <c r="K23" s="1" t="str">
        <f>VLOOKUP(J23,'IU Major Match'!$D$2:$E$65,2,FALSE)</f>
        <v xml:space="preserve">Major exists in IU </v>
      </c>
      <c r="L23" s="1">
        <v>71830669</v>
      </c>
      <c r="M23" s="1" t="s">
        <v>153</v>
      </c>
      <c r="N23" s="1">
        <v>100</v>
      </c>
      <c r="O23" s="1">
        <v>29</v>
      </c>
      <c r="P23" s="1">
        <v>12</v>
      </c>
      <c r="Q23" s="1">
        <v>59</v>
      </c>
      <c r="R23" s="5">
        <f t="shared" si="0"/>
        <v>0.41</v>
      </c>
      <c r="S23" s="13" t="str">
        <f t="shared" si="1"/>
        <v>=&lt;50</v>
      </c>
      <c r="T23" s="14">
        <f t="shared" si="2"/>
        <v>4</v>
      </c>
      <c r="U23" s="14">
        <f t="shared" si="3"/>
        <v>2</v>
      </c>
    </row>
    <row r="24" spans="1:21" x14ac:dyDescent="0.25">
      <c r="A24" s="1">
        <v>12332090</v>
      </c>
      <c r="B24" s="1">
        <v>201914</v>
      </c>
      <c r="C24" s="1" t="s">
        <v>1649</v>
      </c>
      <c r="D24" s="1" t="s">
        <v>59</v>
      </c>
      <c r="E24" s="1" t="s">
        <v>1650</v>
      </c>
      <c r="F24" s="1" t="s">
        <v>17</v>
      </c>
      <c r="G24" s="1" t="s">
        <v>18</v>
      </c>
      <c r="H24" s="1" t="s">
        <v>19</v>
      </c>
      <c r="I24" s="1" t="s">
        <v>82</v>
      </c>
      <c r="J24" s="1" t="s">
        <v>83</v>
      </c>
      <c r="K24" s="1" t="str">
        <f>VLOOKUP(J24,'IU Major Match'!$D$2:$E$65,2,FALSE)</f>
        <v>Can be Transferred to Bachelor of Engineering</v>
      </c>
      <c r="L24" s="1">
        <v>96171550080</v>
      </c>
      <c r="M24" s="1" t="s">
        <v>90</v>
      </c>
      <c r="N24" s="1">
        <v>108</v>
      </c>
      <c r="O24" s="1">
        <v>85</v>
      </c>
      <c r="P24" s="1">
        <v>17</v>
      </c>
      <c r="Q24" s="1">
        <v>6</v>
      </c>
      <c r="R24" s="5">
        <f t="shared" si="0"/>
        <v>0.94444444444444442</v>
      </c>
      <c r="S24" s="13" t="str">
        <f t="shared" si="1"/>
        <v>&gt;50</v>
      </c>
      <c r="T24" s="14">
        <f t="shared" si="2"/>
        <v>1</v>
      </c>
      <c r="U24" s="14">
        <f t="shared" si="3"/>
        <v>0.5</v>
      </c>
    </row>
    <row r="25" spans="1:21" x14ac:dyDescent="0.25">
      <c r="A25" s="1">
        <v>92130070</v>
      </c>
      <c r="B25" s="1">
        <v>169973</v>
      </c>
      <c r="C25" s="1" t="s">
        <v>640</v>
      </c>
      <c r="D25" s="1" t="s">
        <v>198</v>
      </c>
      <c r="E25" s="1" t="s">
        <v>955</v>
      </c>
      <c r="F25" s="1" t="s">
        <v>1603</v>
      </c>
      <c r="G25" s="1" t="s">
        <v>18</v>
      </c>
      <c r="H25" s="1" t="s">
        <v>19</v>
      </c>
      <c r="I25" s="1" t="s">
        <v>82</v>
      </c>
      <c r="J25" s="1" t="s">
        <v>83</v>
      </c>
      <c r="K25" s="1" t="str">
        <f>VLOOKUP(J25,'IU Major Match'!$D$2:$E$65,2,FALSE)</f>
        <v>Can be Transferred to Bachelor of Engineering</v>
      </c>
      <c r="L25" s="1">
        <v>81304945</v>
      </c>
      <c r="M25" s="1" t="s">
        <v>79</v>
      </c>
      <c r="N25" s="1">
        <v>108</v>
      </c>
      <c r="O25" s="1">
        <v>72</v>
      </c>
      <c r="P25" s="1">
        <v>8</v>
      </c>
      <c r="Q25" s="1">
        <v>28</v>
      </c>
      <c r="R25" s="5">
        <f t="shared" si="0"/>
        <v>0.7407407407407407</v>
      </c>
      <c r="S25" s="13" t="str">
        <f t="shared" si="1"/>
        <v>&gt;50</v>
      </c>
      <c r="T25" s="14">
        <f t="shared" si="2"/>
        <v>2</v>
      </c>
      <c r="U25" s="14">
        <f t="shared" si="3"/>
        <v>1</v>
      </c>
    </row>
    <row r="26" spans="1:21" x14ac:dyDescent="0.25">
      <c r="A26" s="1">
        <v>12132854</v>
      </c>
      <c r="B26" s="1">
        <v>174165</v>
      </c>
      <c r="C26" s="1" t="s">
        <v>40</v>
      </c>
      <c r="D26" s="1" t="s">
        <v>38</v>
      </c>
      <c r="E26" s="1" t="s">
        <v>1417</v>
      </c>
      <c r="F26" s="1" t="s">
        <v>17</v>
      </c>
      <c r="G26" s="1" t="s">
        <v>23</v>
      </c>
      <c r="H26" s="1" t="s">
        <v>19</v>
      </c>
      <c r="I26" s="1" t="s">
        <v>88</v>
      </c>
      <c r="J26" s="1" t="s">
        <v>89</v>
      </c>
      <c r="K26" s="1" t="str">
        <f>VLOOKUP(J26,'IU Major Match'!$D$2:$E$65,2,FALSE)</f>
        <v xml:space="preserve">Major exists in IU </v>
      </c>
      <c r="L26" s="1">
        <v>96176726782</v>
      </c>
      <c r="M26" s="1" t="s">
        <v>79</v>
      </c>
      <c r="N26" s="1">
        <v>99</v>
      </c>
      <c r="O26" s="1">
        <v>81</v>
      </c>
      <c r="P26" s="1">
        <v>9</v>
      </c>
      <c r="Q26" s="1">
        <v>9</v>
      </c>
      <c r="R26" s="5">
        <f t="shared" si="0"/>
        <v>0.90909090909090906</v>
      </c>
      <c r="S26" s="13" t="str">
        <f t="shared" si="1"/>
        <v>&gt;50</v>
      </c>
      <c r="T26" s="14">
        <f t="shared" si="2"/>
        <v>1</v>
      </c>
      <c r="U26" s="14">
        <f t="shared" si="3"/>
        <v>0.5</v>
      </c>
    </row>
    <row r="27" spans="1:21" x14ac:dyDescent="0.25">
      <c r="A27" s="1">
        <v>12430588</v>
      </c>
      <c r="B27" s="1">
        <v>209775</v>
      </c>
      <c r="C27" s="1" t="s">
        <v>42</v>
      </c>
      <c r="D27" s="1" t="s">
        <v>805</v>
      </c>
      <c r="E27" s="1" t="s">
        <v>1651</v>
      </c>
      <c r="F27" s="1" t="s">
        <v>17</v>
      </c>
      <c r="G27" s="1" t="s">
        <v>18</v>
      </c>
      <c r="H27" s="1" t="s">
        <v>19</v>
      </c>
      <c r="I27" s="1" t="s">
        <v>164</v>
      </c>
      <c r="J27" s="1" t="s">
        <v>165</v>
      </c>
      <c r="K27" s="1" t="str">
        <f>VLOOKUP(J27,'IU Major Match'!$D$2:$E$65,2,FALSE)</f>
        <v>Can be Transferred to Bachelor of Engineering</v>
      </c>
      <c r="L27" s="1">
        <v>81533670</v>
      </c>
      <c r="M27" s="1" t="s">
        <v>113</v>
      </c>
      <c r="N27" s="1">
        <v>108</v>
      </c>
      <c r="O27" s="1">
        <v>12</v>
      </c>
      <c r="P27" s="1">
        <v>16</v>
      </c>
      <c r="Q27" s="1">
        <v>80</v>
      </c>
      <c r="R27" s="5">
        <f t="shared" si="0"/>
        <v>0.25925925925925924</v>
      </c>
      <c r="S27" s="13" t="str">
        <f t="shared" si="1"/>
        <v>=&lt;50</v>
      </c>
      <c r="T27" s="14">
        <f t="shared" si="2"/>
        <v>6</v>
      </c>
      <c r="U27" s="14">
        <f t="shared" si="3"/>
        <v>3</v>
      </c>
    </row>
    <row r="28" spans="1:21" x14ac:dyDescent="0.25">
      <c r="A28" s="1">
        <v>12610159</v>
      </c>
      <c r="B28" s="1">
        <v>227301</v>
      </c>
      <c r="C28" s="1" t="s">
        <v>33</v>
      </c>
      <c r="D28" s="1" t="s">
        <v>52</v>
      </c>
      <c r="E28" s="1" t="s">
        <v>44</v>
      </c>
      <c r="F28" s="1" t="s">
        <v>17</v>
      </c>
      <c r="G28" s="1" t="s">
        <v>23</v>
      </c>
      <c r="H28" s="1" t="s">
        <v>19</v>
      </c>
      <c r="I28" s="1" t="s">
        <v>397</v>
      </c>
      <c r="J28" s="1" t="s">
        <v>398</v>
      </c>
      <c r="K28" s="1" t="str">
        <f>VLOOKUP(J28,'IU Major Match'!$D$2:$E$65,2,FALSE)</f>
        <v xml:space="preserve">Major exists in IU </v>
      </c>
      <c r="L28" s="1">
        <v>96178835815</v>
      </c>
      <c r="M28" s="1" t="s">
        <v>84</v>
      </c>
      <c r="N28" s="1">
        <v>99</v>
      </c>
      <c r="O28" s="1">
        <v>49</v>
      </c>
      <c r="P28" s="1">
        <v>12</v>
      </c>
      <c r="Q28" s="1">
        <v>38</v>
      </c>
      <c r="R28" s="5">
        <f t="shared" si="0"/>
        <v>0.61616161616161613</v>
      </c>
      <c r="S28" s="13" t="str">
        <f t="shared" si="1"/>
        <v>&gt;50</v>
      </c>
      <c r="T28" s="14">
        <f t="shared" si="2"/>
        <v>3</v>
      </c>
      <c r="U28" s="14">
        <f t="shared" si="3"/>
        <v>1.5</v>
      </c>
    </row>
    <row r="29" spans="1:21" x14ac:dyDescent="0.25">
      <c r="A29" s="1">
        <v>11930835</v>
      </c>
      <c r="B29" s="1">
        <v>139799</v>
      </c>
      <c r="C29" s="1" t="s">
        <v>33</v>
      </c>
      <c r="D29" s="1" t="s">
        <v>24</v>
      </c>
      <c r="E29" s="1" t="s">
        <v>1604</v>
      </c>
      <c r="F29" s="1" t="s">
        <v>17</v>
      </c>
      <c r="G29" s="1" t="s">
        <v>93</v>
      </c>
      <c r="H29" s="1" t="s">
        <v>19</v>
      </c>
      <c r="I29" s="1" t="s">
        <v>111</v>
      </c>
      <c r="J29" s="1" t="s">
        <v>112</v>
      </c>
      <c r="K29" s="1" t="str">
        <f>VLOOKUP(J29,'IU Major Match'!$D$2:$E$65,2,FALSE)</f>
        <v xml:space="preserve">Major exists in IU </v>
      </c>
      <c r="L29" s="1">
        <v>71693332</v>
      </c>
      <c r="M29" s="1" t="s">
        <v>205</v>
      </c>
      <c r="N29" s="1">
        <v>99</v>
      </c>
      <c r="O29" s="1">
        <v>42</v>
      </c>
      <c r="P29" s="1">
        <v>12</v>
      </c>
      <c r="Q29" s="1">
        <v>45</v>
      </c>
      <c r="R29" s="5">
        <f t="shared" si="0"/>
        <v>0.54545454545454541</v>
      </c>
      <c r="S29" s="13" t="str">
        <f t="shared" si="1"/>
        <v>&gt;50</v>
      </c>
      <c r="T29" s="14">
        <f t="shared" si="2"/>
        <v>3</v>
      </c>
      <c r="U29" s="14">
        <f t="shared" si="3"/>
        <v>1.5</v>
      </c>
    </row>
    <row r="30" spans="1:21" x14ac:dyDescent="0.25">
      <c r="A30" s="1">
        <v>12310238</v>
      </c>
      <c r="B30" s="1">
        <v>196980</v>
      </c>
      <c r="C30" s="1" t="s">
        <v>33</v>
      </c>
      <c r="D30" s="1" t="s">
        <v>24</v>
      </c>
      <c r="E30" s="1" t="s">
        <v>1652</v>
      </c>
      <c r="F30" s="1" t="s">
        <v>17</v>
      </c>
      <c r="G30" s="1" t="s">
        <v>23</v>
      </c>
      <c r="H30" s="1" t="s">
        <v>19</v>
      </c>
      <c r="I30" s="1" t="s">
        <v>360</v>
      </c>
      <c r="J30" s="1" t="s">
        <v>361</v>
      </c>
      <c r="K30" s="1" t="str">
        <f>VLOOKUP(J30,'IU Major Match'!$D$2:$E$65,2,FALSE)</f>
        <v xml:space="preserve">Major exists in IU </v>
      </c>
      <c r="L30" s="1">
        <v>76172365</v>
      </c>
      <c r="M30" s="1" t="s">
        <v>178</v>
      </c>
      <c r="N30" s="1">
        <v>108</v>
      </c>
      <c r="O30" s="1">
        <v>33</v>
      </c>
      <c r="P30" s="1">
        <v>18</v>
      </c>
      <c r="Q30" s="1">
        <v>57</v>
      </c>
      <c r="R30" s="5">
        <f t="shared" si="0"/>
        <v>0.47222222222222221</v>
      </c>
      <c r="S30" s="13" t="str">
        <f t="shared" si="1"/>
        <v>=&lt;50</v>
      </c>
      <c r="T30" s="14">
        <f t="shared" si="2"/>
        <v>4</v>
      </c>
      <c r="U30" s="14">
        <f t="shared" si="3"/>
        <v>2</v>
      </c>
    </row>
    <row r="31" spans="1:21" x14ac:dyDescent="0.25">
      <c r="A31" s="1">
        <v>12133844</v>
      </c>
      <c r="B31" s="1">
        <v>176723</v>
      </c>
      <c r="C31" s="1" t="s">
        <v>1653</v>
      </c>
      <c r="D31" s="1" t="s">
        <v>48</v>
      </c>
      <c r="E31" s="1" t="s">
        <v>27</v>
      </c>
      <c r="F31" s="1" t="s">
        <v>17</v>
      </c>
      <c r="G31" s="1" t="s">
        <v>23</v>
      </c>
      <c r="H31" s="1" t="s">
        <v>19</v>
      </c>
      <c r="I31" s="1" t="s">
        <v>1108</v>
      </c>
      <c r="J31" s="1" t="s">
        <v>1109</v>
      </c>
      <c r="K31" s="1" t="str">
        <f>VLOOKUP(J31,'IU Major Match'!$D$2:$E$65,2,FALSE)</f>
        <v xml:space="preserve">Major exists in IU </v>
      </c>
      <c r="L31" s="1">
        <v>96176922699</v>
      </c>
      <c r="M31" s="1" t="s">
        <v>79</v>
      </c>
      <c r="N31" s="1">
        <v>99</v>
      </c>
      <c r="O31" s="1">
        <v>15</v>
      </c>
      <c r="P31" s="1">
        <v>18</v>
      </c>
      <c r="Q31" s="1">
        <v>67</v>
      </c>
      <c r="R31" s="5">
        <f t="shared" si="0"/>
        <v>0.33333333333333331</v>
      </c>
      <c r="S31" s="13" t="str">
        <f t="shared" si="1"/>
        <v>=&lt;50</v>
      </c>
      <c r="T31" s="14">
        <f t="shared" si="2"/>
        <v>5</v>
      </c>
      <c r="U31" s="14">
        <f t="shared" si="3"/>
        <v>2.5</v>
      </c>
    </row>
    <row r="32" spans="1:21" x14ac:dyDescent="0.25">
      <c r="A32" s="1">
        <v>92130593</v>
      </c>
      <c r="B32" s="1">
        <v>180502</v>
      </c>
      <c r="C32" s="1" t="s">
        <v>697</v>
      </c>
      <c r="D32" s="1" t="s">
        <v>285</v>
      </c>
      <c r="E32" s="1" t="s">
        <v>1463</v>
      </c>
      <c r="F32" s="1" t="s">
        <v>1603</v>
      </c>
      <c r="G32" s="1" t="s">
        <v>93</v>
      </c>
      <c r="H32" s="1" t="s">
        <v>19</v>
      </c>
      <c r="I32" s="1" t="s">
        <v>94</v>
      </c>
      <c r="J32" s="1" t="s">
        <v>95</v>
      </c>
      <c r="K32" s="1" t="str">
        <f>VLOOKUP(J32,'IU Major Match'!$D$2:$E$65,2,FALSE)</f>
        <v xml:space="preserve">Major exists in IU </v>
      </c>
      <c r="L32" s="1">
        <v>70588137</v>
      </c>
      <c r="M32" s="1" t="s">
        <v>79</v>
      </c>
      <c r="N32" s="1">
        <v>99</v>
      </c>
      <c r="O32" s="1">
        <v>87</v>
      </c>
      <c r="P32" s="1">
        <v>12</v>
      </c>
      <c r="Q32" s="1">
        <v>0</v>
      </c>
      <c r="R32" s="5">
        <f t="shared" si="0"/>
        <v>1</v>
      </c>
      <c r="S32" s="13" t="str">
        <f t="shared" si="1"/>
        <v>&gt;50</v>
      </c>
      <c r="T32" s="14">
        <f t="shared" si="2"/>
        <v>0</v>
      </c>
      <c r="U32" s="14">
        <f t="shared" si="3"/>
        <v>0</v>
      </c>
    </row>
    <row r="33" spans="1:21" x14ac:dyDescent="0.25">
      <c r="A33" s="1">
        <v>82410008</v>
      </c>
      <c r="B33" s="1">
        <v>208286</v>
      </c>
      <c r="C33" s="1" t="s">
        <v>697</v>
      </c>
      <c r="D33" s="1" t="s">
        <v>21</v>
      </c>
      <c r="E33" s="1" t="s">
        <v>1654</v>
      </c>
      <c r="F33" s="1" t="s">
        <v>17</v>
      </c>
      <c r="G33" s="1" t="s">
        <v>18</v>
      </c>
      <c r="H33" s="1" t="s">
        <v>19</v>
      </c>
      <c r="I33" s="1" t="s">
        <v>82</v>
      </c>
      <c r="J33" s="1" t="s">
        <v>83</v>
      </c>
      <c r="K33" s="1" t="str">
        <f>VLOOKUP(J33,'IU Major Match'!$D$2:$E$65,2,FALSE)</f>
        <v>Can be Transferred to Bachelor of Engineering</v>
      </c>
      <c r="L33" s="1">
        <v>96181929869</v>
      </c>
      <c r="M33" s="1" t="s">
        <v>362</v>
      </c>
      <c r="N33" s="1">
        <v>108</v>
      </c>
      <c r="O33" s="1">
        <v>66</v>
      </c>
      <c r="P33" s="1">
        <v>14</v>
      </c>
      <c r="Q33" s="1">
        <v>28</v>
      </c>
      <c r="R33" s="5">
        <f t="shared" si="0"/>
        <v>0.7407407407407407</v>
      </c>
      <c r="S33" s="13" t="str">
        <f t="shared" si="1"/>
        <v>&gt;50</v>
      </c>
      <c r="T33" s="14">
        <f t="shared" si="2"/>
        <v>2</v>
      </c>
      <c r="U33" s="14">
        <f t="shared" si="3"/>
        <v>1</v>
      </c>
    </row>
    <row r="34" spans="1:21" x14ac:dyDescent="0.25">
      <c r="A34" s="1">
        <v>12332688</v>
      </c>
      <c r="B34" s="1">
        <v>204683</v>
      </c>
      <c r="C34" s="1" t="s">
        <v>48</v>
      </c>
      <c r="D34" s="1" t="s">
        <v>312</v>
      </c>
      <c r="E34" s="1" t="s">
        <v>1655</v>
      </c>
      <c r="F34" s="1" t="s">
        <v>17</v>
      </c>
      <c r="G34" s="1" t="s">
        <v>93</v>
      </c>
      <c r="H34" s="1" t="s">
        <v>19</v>
      </c>
      <c r="I34" s="1" t="s">
        <v>138</v>
      </c>
      <c r="J34" s="1" t="s">
        <v>139</v>
      </c>
      <c r="K34" s="1" t="str">
        <f>VLOOKUP(J34,'IU Major Match'!$D$2:$E$65,2,FALSE)</f>
        <v xml:space="preserve">Major exists in IU </v>
      </c>
      <c r="L34" s="1">
        <v>76436810</v>
      </c>
      <c r="M34" s="1" t="s">
        <v>90</v>
      </c>
      <c r="N34" s="1">
        <v>99</v>
      </c>
      <c r="O34" s="1">
        <v>12</v>
      </c>
      <c r="P34" s="1">
        <v>9</v>
      </c>
      <c r="Q34" s="1">
        <v>78</v>
      </c>
      <c r="R34" s="5">
        <f t="shared" si="0"/>
        <v>0.21212121212121213</v>
      </c>
      <c r="S34" s="13" t="str">
        <f t="shared" si="1"/>
        <v>=&lt;50</v>
      </c>
      <c r="T34" s="14">
        <f t="shared" si="2"/>
        <v>6</v>
      </c>
      <c r="U34" s="14">
        <f t="shared" si="3"/>
        <v>3</v>
      </c>
    </row>
    <row r="35" spans="1:21" x14ac:dyDescent="0.25">
      <c r="A35" s="1">
        <v>12530018</v>
      </c>
      <c r="B35" s="1">
        <v>221510</v>
      </c>
      <c r="C35" s="1" t="s">
        <v>702</v>
      </c>
      <c r="D35" s="1" t="s">
        <v>617</v>
      </c>
      <c r="E35" s="1" t="s">
        <v>526</v>
      </c>
      <c r="F35" s="1" t="s">
        <v>17</v>
      </c>
      <c r="G35" s="1" t="s">
        <v>200</v>
      </c>
      <c r="H35" s="1" t="s">
        <v>19</v>
      </c>
      <c r="I35" s="1" t="s">
        <v>201</v>
      </c>
      <c r="J35" s="1" t="s">
        <v>202</v>
      </c>
      <c r="K35" s="1" t="str">
        <f>VLOOKUP(J35,'IU Major Match'!$D$2:$E$65,2,FALSE)</f>
        <v>Major Dont exists in IU</v>
      </c>
      <c r="L35" s="1">
        <v>96181848211</v>
      </c>
      <c r="M35" s="1" t="s">
        <v>99</v>
      </c>
      <c r="N35" s="1">
        <v>65</v>
      </c>
      <c r="O35" s="1">
        <v>6</v>
      </c>
      <c r="P35" s="1">
        <v>13</v>
      </c>
      <c r="Q35" s="1">
        <v>57</v>
      </c>
      <c r="R35" s="5">
        <f t="shared" si="0"/>
        <v>0.29230769230769232</v>
      </c>
      <c r="S35" s="13" t="str">
        <f t="shared" si="1"/>
        <v>=&lt;50</v>
      </c>
      <c r="T35" s="14">
        <f t="shared" si="2"/>
        <v>4</v>
      </c>
      <c r="U35" s="14">
        <f t="shared" si="3"/>
        <v>2</v>
      </c>
    </row>
    <row r="36" spans="1:21" x14ac:dyDescent="0.25">
      <c r="A36" s="1">
        <v>92230256</v>
      </c>
      <c r="B36" s="1">
        <v>190805</v>
      </c>
      <c r="C36" s="1" t="s">
        <v>1624</v>
      </c>
      <c r="D36" s="1" t="s">
        <v>40</v>
      </c>
      <c r="E36" s="1" t="s">
        <v>119</v>
      </c>
      <c r="F36" s="1" t="s">
        <v>1603</v>
      </c>
      <c r="G36" s="1" t="s">
        <v>23</v>
      </c>
      <c r="H36" s="1" t="s">
        <v>19</v>
      </c>
      <c r="I36" s="1" t="s">
        <v>103</v>
      </c>
      <c r="J36" s="1" t="s">
        <v>104</v>
      </c>
      <c r="K36" s="1" t="str">
        <f>VLOOKUP(J36,'IU Major Match'!$D$2:$E$65,2,FALSE)</f>
        <v xml:space="preserve">Major exists in IU </v>
      </c>
      <c r="L36" s="1">
        <v>81341641</v>
      </c>
      <c r="M36" s="1" t="s">
        <v>153</v>
      </c>
      <c r="N36" s="1">
        <v>100</v>
      </c>
      <c r="O36" s="1">
        <v>81</v>
      </c>
      <c r="P36" s="1">
        <v>16</v>
      </c>
      <c r="Q36" s="1">
        <v>3</v>
      </c>
      <c r="R36" s="5">
        <f t="shared" si="0"/>
        <v>0.97</v>
      </c>
      <c r="S36" s="13" t="str">
        <f t="shared" si="1"/>
        <v>&gt;50</v>
      </c>
      <c r="T36" s="14">
        <f t="shared" si="2"/>
        <v>1</v>
      </c>
      <c r="U36" s="14">
        <f t="shared" si="3"/>
        <v>0.5</v>
      </c>
    </row>
    <row r="37" spans="1:21" x14ac:dyDescent="0.25">
      <c r="A37" s="1">
        <v>52410129</v>
      </c>
      <c r="B37" s="1">
        <v>208507</v>
      </c>
      <c r="C37" s="1" t="s">
        <v>721</v>
      </c>
      <c r="D37" s="1" t="s">
        <v>1481</v>
      </c>
      <c r="E37" s="1" t="s">
        <v>1656</v>
      </c>
      <c r="F37" s="1" t="s">
        <v>1647</v>
      </c>
      <c r="G37" s="1" t="s">
        <v>23</v>
      </c>
      <c r="H37" s="1" t="s">
        <v>19</v>
      </c>
      <c r="I37" s="1" t="s">
        <v>97</v>
      </c>
      <c r="J37" s="1" t="s">
        <v>98</v>
      </c>
      <c r="K37" s="1" t="str">
        <f>VLOOKUP(J37,'IU Major Match'!$D$2:$E$65,2,FALSE)</f>
        <v>Major Dont exists in IU</v>
      </c>
      <c r="L37" s="1">
        <v>76491897</v>
      </c>
      <c r="M37" s="1" t="s">
        <v>362</v>
      </c>
      <c r="N37" s="1">
        <v>105</v>
      </c>
      <c r="O37" s="1">
        <v>49</v>
      </c>
      <c r="P37" s="1">
        <v>11</v>
      </c>
      <c r="Q37" s="1">
        <v>45</v>
      </c>
      <c r="R37" s="5">
        <f t="shared" si="0"/>
        <v>0.5714285714285714</v>
      </c>
      <c r="S37" s="13" t="str">
        <f t="shared" si="1"/>
        <v>&gt;50</v>
      </c>
      <c r="T37" s="14">
        <f t="shared" si="2"/>
        <v>3</v>
      </c>
      <c r="U37" s="14">
        <f t="shared" si="3"/>
        <v>1.5</v>
      </c>
    </row>
    <row r="38" spans="1:21" x14ac:dyDescent="0.25">
      <c r="A38" s="1">
        <v>12531650</v>
      </c>
      <c r="B38" s="1">
        <v>224791</v>
      </c>
      <c r="C38" s="1" t="s">
        <v>1657</v>
      </c>
      <c r="D38" s="1" t="s">
        <v>15</v>
      </c>
      <c r="E38" s="1" t="s">
        <v>16</v>
      </c>
      <c r="F38" s="1" t="s">
        <v>17</v>
      </c>
      <c r="G38" s="1" t="s">
        <v>200</v>
      </c>
      <c r="H38" s="1" t="s">
        <v>19</v>
      </c>
      <c r="I38" s="1" t="s">
        <v>201</v>
      </c>
      <c r="J38" s="1" t="s">
        <v>202</v>
      </c>
      <c r="K38" s="1" t="str">
        <f>VLOOKUP(J38,'IU Major Match'!$D$2:$E$65,2,FALSE)</f>
        <v>Major Dont exists in IU</v>
      </c>
      <c r="L38" s="1">
        <v>96181405231</v>
      </c>
      <c r="M38" s="1" t="s">
        <v>99</v>
      </c>
      <c r="N38" s="1">
        <v>65</v>
      </c>
      <c r="O38" s="1">
        <v>0</v>
      </c>
      <c r="P38" s="1">
        <v>14</v>
      </c>
      <c r="Q38" s="1">
        <v>51</v>
      </c>
      <c r="R38" s="5">
        <f t="shared" si="0"/>
        <v>0.2153846153846154</v>
      </c>
      <c r="S38" s="13" t="str">
        <f t="shared" si="1"/>
        <v>=&lt;50</v>
      </c>
      <c r="T38" s="14">
        <f t="shared" si="2"/>
        <v>4</v>
      </c>
      <c r="U38" s="14">
        <f t="shared" si="3"/>
        <v>2</v>
      </c>
    </row>
    <row r="39" spans="1:21" x14ac:dyDescent="0.25">
      <c r="A39" s="1">
        <v>82430337</v>
      </c>
      <c r="B39" s="1">
        <v>215207</v>
      </c>
      <c r="C39" s="1" t="s">
        <v>391</v>
      </c>
      <c r="D39" s="1" t="s">
        <v>447</v>
      </c>
      <c r="E39" s="1" t="s">
        <v>1658</v>
      </c>
      <c r="F39" s="1" t="s">
        <v>1637</v>
      </c>
      <c r="G39" s="1" t="s">
        <v>23</v>
      </c>
      <c r="H39" s="1" t="s">
        <v>19</v>
      </c>
      <c r="I39" s="1" t="s">
        <v>103</v>
      </c>
      <c r="J39" s="1" t="s">
        <v>104</v>
      </c>
      <c r="K39" s="1" t="str">
        <f>VLOOKUP(J39,'IU Major Match'!$D$2:$E$65,2,FALSE)</f>
        <v xml:space="preserve">Major exists in IU </v>
      </c>
      <c r="L39" s="1">
        <v>76571015</v>
      </c>
      <c r="M39" s="1" t="s">
        <v>113</v>
      </c>
      <c r="N39" s="1">
        <v>100</v>
      </c>
      <c r="O39" s="1">
        <v>10</v>
      </c>
      <c r="P39" s="1">
        <v>4</v>
      </c>
      <c r="Q39" s="1">
        <v>86</v>
      </c>
      <c r="R39" s="5">
        <f t="shared" si="0"/>
        <v>0.14000000000000001</v>
      </c>
      <c r="S39" s="13" t="str">
        <f t="shared" si="1"/>
        <v>=&lt;50</v>
      </c>
      <c r="T39" s="14">
        <f t="shared" si="2"/>
        <v>6</v>
      </c>
      <c r="U39" s="14">
        <f t="shared" si="3"/>
        <v>3</v>
      </c>
    </row>
    <row r="40" spans="1:21" x14ac:dyDescent="0.25">
      <c r="A40" s="1">
        <v>82410047</v>
      </c>
      <c r="B40" s="1">
        <v>208502</v>
      </c>
      <c r="C40" s="1" t="s">
        <v>261</v>
      </c>
      <c r="D40" s="1" t="s">
        <v>43</v>
      </c>
      <c r="E40" s="1" t="s">
        <v>1659</v>
      </c>
      <c r="F40" s="1" t="s">
        <v>1637</v>
      </c>
      <c r="G40" s="1" t="s">
        <v>93</v>
      </c>
      <c r="H40" s="1" t="s">
        <v>19</v>
      </c>
      <c r="I40" s="1" t="s">
        <v>345</v>
      </c>
      <c r="J40" s="1" t="s">
        <v>346</v>
      </c>
      <c r="K40" s="1" t="str">
        <f>VLOOKUP(J40,'IU Major Match'!$D$2:$E$65,2,FALSE)</f>
        <v xml:space="preserve">Major exists in IU </v>
      </c>
      <c r="L40" s="1">
        <v>96176920984</v>
      </c>
      <c r="M40" s="1" t="s">
        <v>362</v>
      </c>
      <c r="N40" s="1">
        <v>99</v>
      </c>
      <c r="O40" s="1">
        <v>42</v>
      </c>
      <c r="P40" s="1">
        <v>12</v>
      </c>
      <c r="Q40" s="1">
        <v>45</v>
      </c>
      <c r="R40" s="5">
        <f t="shared" si="0"/>
        <v>0.54545454545454541</v>
      </c>
      <c r="S40" s="13" t="str">
        <f t="shared" si="1"/>
        <v>&gt;50</v>
      </c>
      <c r="T40" s="14">
        <f t="shared" si="2"/>
        <v>3</v>
      </c>
      <c r="U40" s="14">
        <f t="shared" si="3"/>
        <v>1.5</v>
      </c>
    </row>
    <row r="41" spans="1:21" x14ac:dyDescent="0.25">
      <c r="A41" s="1">
        <v>92230440</v>
      </c>
      <c r="B41" s="1">
        <v>194533</v>
      </c>
      <c r="C41" s="1" t="s">
        <v>261</v>
      </c>
      <c r="D41" s="1" t="s">
        <v>1622</v>
      </c>
      <c r="E41" s="1" t="s">
        <v>239</v>
      </c>
      <c r="F41" s="1" t="s">
        <v>1603</v>
      </c>
      <c r="G41" s="1" t="s">
        <v>93</v>
      </c>
      <c r="H41" s="1" t="s">
        <v>19</v>
      </c>
      <c r="I41" s="1" t="s">
        <v>133</v>
      </c>
      <c r="J41" s="1" t="s">
        <v>134</v>
      </c>
      <c r="K41" s="1" t="str">
        <f>VLOOKUP(J41,'IU Major Match'!$D$2:$E$65,2,FALSE)</f>
        <v xml:space="preserve">Major exists in IU </v>
      </c>
      <c r="L41" s="1">
        <v>76662315</v>
      </c>
      <c r="M41" s="1" t="s">
        <v>153</v>
      </c>
      <c r="N41" s="1">
        <v>99</v>
      </c>
      <c r="O41" s="1">
        <v>78</v>
      </c>
      <c r="P41" s="1">
        <v>15</v>
      </c>
      <c r="Q41" s="1">
        <v>6</v>
      </c>
      <c r="R41" s="5">
        <f t="shared" si="0"/>
        <v>0.93939393939393945</v>
      </c>
      <c r="S41" s="13" t="str">
        <f t="shared" si="1"/>
        <v>&gt;50</v>
      </c>
      <c r="T41" s="14">
        <f t="shared" si="2"/>
        <v>1</v>
      </c>
      <c r="U41" s="14">
        <f t="shared" si="3"/>
        <v>0.5</v>
      </c>
    </row>
    <row r="42" spans="1:21" x14ac:dyDescent="0.25">
      <c r="A42" s="1">
        <v>12530688</v>
      </c>
      <c r="B42" s="1">
        <v>219529</v>
      </c>
      <c r="C42" s="1" t="s">
        <v>1660</v>
      </c>
      <c r="D42" s="1" t="s">
        <v>1661</v>
      </c>
      <c r="E42" s="1" t="s">
        <v>1662</v>
      </c>
      <c r="F42" s="1" t="s">
        <v>17</v>
      </c>
      <c r="G42" s="1" t="s">
        <v>18</v>
      </c>
      <c r="H42" s="1" t="s">
        <v>19</v>
      </c>
      <c r="I42" s="1" t="s">
        <v>146</v>
      </c>
      <c r="J42" s="1" t="s">
        <v>147</v>
      </c>
      <c r="K42" s="1" t="str">
        <f>VLOOKUP(J42,'IU Major Match'!$D$2:$E$65,2,FALSE)</f>
        <v>Can be Transferred to Bachelor of Engineering</v>
      </c>
      <c r="L42" s="1">
        <v>81105956</v>
      </c>
      <c r="M42" s="1" t="s">
        <v>99</v>
      </c>
      <c r="N42" s="1">
        <v>108</v>
      </c>
      <c r="O42" s="1">
        <v>3</v>
      </c>
      <c r="P42" s="1">
        <v>12</v>
      </c>
      <c r="Q42" s="1">
        <v>93</v>
      </c>
      <c r="R42" s="5">
        <f t="shared" si="0"/>
        <v>0.1388888888888889</v>
      </c>
      <c r="S42" s="13" t="str">
        <f t="shared" si="1"/>
        <v>=&lt;50</v>
      </c>
      <c r="T42" s="14">
        <f t="shared" si="2"/>
        <v>7</v>
      </c>
      <c r="U42" s="14">
        <f t="shared" si="3"/>
        <v>3.5</v>
      </c>
    </row>
    <row r="43" spans="1:21" x14ac:dyDescent="0.25">
      <c r="A43" s="1">
        <v>12330800</v>
      </c>
      <c r="B43" s="1">
        <v>198991</v>
      </c>
      <c r="C43" s="1" t="s">
        <v>1663</v>
      </c>
      <c r="D43" s="1" t="s">
        <v>1664</v>
      </c>
      <c r="E43" s="1" t="s">
        <v>1665</v>
      </c>
      <c r="F43" s="1" t="s">
        <v>17</v>
      </c>
      <c r="G43" s="1" t="s">
        <v>23</v>
      </c>
      <c r="H43" s="1" t="s">
        <v>19</v>
      </c>
      <c r="I43" s="1" t="s">
        <v>159</v>
      </c>
      <c r="J43" s="1" t="s">
        <v>160</v>
      </c>
      <c r="K43" s="1" t="str">
        <f>VLOOKUP(J43,'IU Major Match'!$D$2:$E$65,2,FALSE)</f>
        <v xml:space="preserve">Major exists in IU </v>
      </c>
      <c r="L43" s="1">
        <v>70124703</v>
      </c>
      <c r="M43" s="1" t="s">
        <v>90</v>
      </c>
      <c r="N43" s="1">
        <v>99</v>
      </c>
      <c r="O43" s="1">
        <v>49</v>
      </c>
      <c r="P43" s="1">
        <v>19</v>
      </c>
      <c r="Q43" s="1">
        <v>31</v>
      </c>
      <c r="R43" s="5">
        <f t="shared" si="0"/>
        <v>0.68686868686868685</v>
      </c>
      <c r="S43" s="13" t="str">
        <f t="shared" si="1"/>
        <v>&gt;50</v>
      </c>
      <c r="T43" s="14">
        <f t="shared" si="2"/>
        <v>3</v>
      </c>
      <c r="U43" s="14">
        <f t="shared" si="3"/>
        <v>1.5</v>
      </c>
    </row>
    <row r="44" spans="1:21" x14ac:dyDescent="0.25">
      <c r="A44" s="1">
        <v>12032183</v>
      </c>
      <c r="B44" s="1">
        <v>160096</v>
      </c>
      <c r="C44" s="1" t="s">
        <v>1666</v>
      </c>
      <c r="D44" s="1" t="s">
        <v>49</v>
      </c>
      <c r="E44" s="1" t="s">
        <v>1667</v>
      </c>
      <c r="F44" s="1" t="s">
        <v>17</v>
      </c>
      <c r="G44" s="1" t="s">
        <v>23</v>
      </c>
      <c r="H44" s="1" t="s">
        <v>19</v>
      </c>
      <c r="I44" s="1" t="s">
        <v>116</v>
      </c>
      <c r="J44" s="1" t="s">
        <v>117</v>
      </c>
      <c r="K44" s="1" t="str">
        <f>VLOOKUP(J44,'IU Major Match'!$D$2:$E$65,2,FALSE)</f>
        <v>Major Dont exists in IU</v>
      </c>
      <c r="L44" s="1">
        <v>96181045783</v>
      </c>
      <c r="M44" s="1" t="s">
        <v>51</v>
      </c>
      <c r="N44" s="1">
        <v>99</v>
      </c>
      <c r="O44" s="1">
        <v>92</v>
      </c>
      <c r="P44" s="1">
        <v>7</v>
      </c>
      <c r="Q44" s="1">
        <v>0</v>
      </c>
      <c r="R44" s="5">
        <f t="shared" si="0"/>
        <v>1</v>
      </c>
      <c r="S44" s="13" t="str">
        <f t="shared" si="1"/>
        <v>&gt;50</v>
      </c>
      <c r="T44" s="14">
        <f t="shared" si="2"/>
        <v>0</v>
      </c>
      <c r="U44" s="14">
        <f t="shared" si="3"/>
        <v>0</v>
      </c>
    </row>
    <row r="45" spans="1:21" x14ac:dyDescent="0.25">
      <c r="A45" s="1">
        <v>92030086</v>
      </c>
      <c r="B45" s="1">
        <v>157358</v>
      </c>
      <c r="C45" s="1" t="s">
        <v>858</v>
      </c>
      <c r="D45" s="1" t="s">
        <v>731</v>
      </c>
      <c r="E45" s="1" t="s">
        <v>751</v>
      </c>
      <c r="F45" s="1" t="s">
        <v>1603</v>
      </c>
      <c r="G45" s="1" t="s">
        <v>23</v>
      </c>
      <c r="H45" s="1" t="s">
        <v>19</v>
      </c>
      <c r="I45" s="1" t="s">
        <v>116</v>
      </c>
      <c r="J45" s="1" t="s">
        <v>117</v>
      </c>
      <c r="K45" s="1" t="str">
        <f>VLOOKUP(J45,'IU Major Match'!$D$2:$E$65,2,FALSE)</f>
        <v>Major Dont exists in IU</v>
      </c>
      <c r="L45" s="1">
        <v>96170979635</v>
      </c>
      <c r="M45" s="1" t="s">
        <v>51</v>
      </c>
      <c r="N45" s="1">
        <v>99</v>
      </c>
      <c r="O45" s="1">
        <v>86</v>
      </c>
      <c r="P45" s="1">
        <v>13</v>
      </c>
      <c r="Q45" s="1">
        <v>0</v>
      </c>
      <c r="R45" s="5">
        <f t="shared" si="0"/>
        <v>1</v>
      </c>
      <c r="S45" s="13" t="str">
        <f t="shared" si="1"/>
        <v>&gt;50</v>
      </c>
      <c r="T45" s="14">
        <f t="shared" si="2"/>
        <v>0</v>
      </c>
      <c r="U45" s="14">
        <f t="shared" si="3"/>
        <v>0</v>
      </c>
    </row>
    <row r="46" spans="1:21" x14ac:dyDescent="0.25">
      <c r="A46" s="1">
        <v>12510219</v>
      </c>
      <c r="B46" s="1">
        <v>217914</v>
      </c>
      <c r="C46" s="1" t="s">
        <v>1618</v>
      </c>
      <c r="D46" s="1" t="s">
        <v>75</v>
      </c>
      <c r="E46" s="1" t="s">
        <v>1668</v>
      </c>
      <c r="F46" s="1" t="s">
        <v>17</v>
      </c>
      <c r="G46" s="1" t="s">
        <v>18</v>
      </c>
      <c r="H46" s="1" t="s">
        <v>19</v>
      </c>
      <c r="I46" s="1" t="s">
        <v>1213</v>
      </c>
      <c r="J46" s="1" t="s">
        <v>1214</v>
      </c>
      <c r="K46" s="1" t="str">
        <f>VLOOKUP(J46,'IU Major Match'!$D$2:$E$65,2,FALSE)</f>
        <v>Can be Transferred to Bachelor of Engineering</v>
      </c>
      <c r="L46" s="1">
        <v>81518194</v>
      </c>
      <c r="M46" s="1" t="s">
        <v>242</v>
      </c>
      <c r="N46" s="1">
        <v>108</v>
      </c>
      <c r="O46" s="1">
        <v>0</v>
      </c>
      <c r="P46" s="1">
        <v>13</v>
      </c>
      <c r="Q46" s="1">
        <v>95</v>
      </c>
      <c r="R46" s="5">
        <f t="shared" si="0"/>
        <v>0.12037037037037036</v>
      </c>
      <c r="S46" s="13" t="str">
        <f t="shared" si="1"/>
        <v>=&lt;50</v>
      </c>
      <c r="T46" s="14">
        <f t="shared" si="2"/>
        <v>7</v>
      </c>
      <c r="U46" s="14">
        <f t="shared" si="3"/>
        <v>3.5</v>
      </c>
    </row>
    <row r="47" spans="1:21" x14ac:dyDescent="0.25">
      <c r="A47" s="1">
        <v>32410083</v>
      </c>
      <c r="B47" s="1">
        <v>208715</v>
      </c>
      <c r="C47" s="1" t="s">
        <v>1669</v>
      </c>
      <c r="D47" s="1" t="s">
        <v>224</v>
      </c>
      <c r="E47" s="1" t="s">
        <v>771</v>
      </c>
      <c r="F47" s="1" t="s">
        <v>1638</v>
      </c>
      <c r="G47" s="1" t="s">
        <v>23</v>
      </c>
      <c r="H47" s="1" t="s">
        <v>19</v>
      </c>
      <c r="I47" s="1" t="s">
        <v>151</v>
      </c>
      <c r="J47" s="1" t="s">
        <v>152</v>
      </c>
      <c r="K47" s="1" t="str">
        <f>VLOOKUP(J47,'IU Major Match'!$D$2:$E$65,2,FALSE)</f>
        <v>Major Dont exists in IU</v>
      </c>
      <c r="L47" s="1">
        <v>71785422</v>
      </c>
      <c r="M47" s="1" t="s">
        <v>362</v>
      </c>
      <c r="N47" s="1">
        <v>105</v>
      </c>
      <c r="O47" s="1">
        <v>63</v>
      </c>
      <c r="P47" s="1">
        <v>15</v>
      </c>
      <c r="Q47" s="1">
        <v>27</v>
      </c>
      <c r="R47" s="5">
        <f t="shared" si="0"/>
        <v>0.74285714285714288</v>
      </c>
      <c r="S47" s="13" t="str">
        <f t="shared" si="1"/>
        <v>&gt;50</v>
      </c>
      <c r="T47" s="14">
        <f t="shared" si="2"/>
        <v>2</v>
      </c>
      <c r="U47" s="14">
        <f t="shared" si="3"/>
        <v>1</v>
      </c>
    </row>
    <row r="48" spans="1:21" x14ac:dyDescent="0.25">
      <c r="A48" s="1">
        <v>12530685</v>
      </c>
      <c r="B48" s="1">
        <v>221057</v>
      </c>
      <c r="C48" s="1" t="s">
        <v>1670</v>
      </c>
      <c r="D48" s="1" t="s">
        <v>73</v>
      </c>
      <c r="E48" s="1" t="s">
        <v>399</v>
      </c>
      <c r="F48" s="1" t="s">
        <v>17</v>
      </c>
      <c r="G48" s="1" t="s">
        <v>200</v>
      </c>
      <c r="H48" s="1" t="s">
        <v>19</v>
      </c>
      <c r="I48" s="1" t="s">
        <v>201</v>
      </c>
      <c r="J48" s="1" t="s">
        <v>202</v>
      </c>
      <c r="K48" s="1" t="str">
        <f>VLOOKUP(J48,'IU Major Match'!$D$2:$E$65,2,FALSE)</f>
        <v>Major Dont exists in IU</v>
      </c>
      <c r="L48" s="1">
        <v>70178797</v>
      </c>
      <c r="M48" s="1" t="s">
        <v>99</v>
      </c>
      <c r="N48" s="1">
        <v>65</v>
      </c>
      <c r="O48" s="1">
        <v>12</v>
      </c>
      <c r="P48" s="1">
        <v>16</v>
      </c>
      <c r="Q48" s="1">
        <v>37</v>
      </c>
      <c r="R48" s="5">
        <f t="shared" si="0"/>
        <v>0.43076923076923079</v>
      </c>
      <c r="S48" s="13" t="str">
        <f t="shared" si="1"/>
        <v>=&lt;50</v>
      </c>
      <c r="T48" s="14">
        <f t="shared" si="2"/>
        <v>3</v>
      </c>
      <c r="U48" s="14">
        <f t="shared" si="3"/>
        <v>1.5</v>
      </c>
    </row>
    <row r="49" spans="1:21" x14ac:dyDescent="0.25">
      <c r="A49" s="1">
        <v>72330249</v>
      </c>
      <c r="B49" s="1">
        <v>200343</v>
      </c>
      <c r="C49" s="1" t="s">
        <v>903</v>
      </c>
      <c r="D49" s="1" t="s">
        <v>265</v>
      </c>
      <c r="E49" s="1" t="s">
        <v>1671</v>
      </c>
      <c r="F49" s="1" t="s">
        <v>1672</v>
      </c>
      <c r="G49" s="1" t="s">
        <v>23</v>
      </c>
      <c r="H49" s="1" t="s">
        <v>19</v>
      </c>
      <c r="I49" s="1" t="s">
        <v>237</v>
      </c>
      <c r="J49" s="1" t="s">
        <v>238</v>
      </c>
      <c r="K49" s="1" t="str">
        <f>VLOOKUP(J49,'IU Major Match'!$D$2:$E$65,2,FALSE)</f>
        <v xml:space="preserve">Major exists in IU </v>
      </c>
      <c r="L49" s="1">
        <v>96181869672</v>
      </c>
      <c r="M49" s="1" t="s">
        <v>90</v>
      </c>
      <c r="N49" s="1">
        <v>108</v>
      </c>
      <c r="O49" s="1">
        <v>72</v>
      </c>
      <c r="P49" s="1">
        <v>18</v>
      </c>
      <c r="Q49" s="1">
        <v>18</v>
      </c>
      <c r="R49" s="5">
        <f t="shared" si="0"/>
        <v>0.83333333333333337</v>
      </c>
      <c r="S49" s="13" t="str">
        <f t="shared" si="1"/>
        <v>&gt;50</v>
      </c>
      <c r="T49" s="14">
        <f t="shared" si="2"/>
        <v>2</v>
      </c>
      <c r="U49" s="14">
        <f t="shared" si="3"/>
        <v>1</v>
      </c>
    </row>
    <row r="50" spans="1:21" x14ac:dyDescent="0.25">
      <c r="A50" s="1">
        <v>22320013</v>
      </c>
      <c r="B50" s="1">
        <v>198501</v>
      </c>
      <c r="C50" s="1" t="s">
        <v>1614</v>
      </c>
      <c r="D50" s="1" t="s">
        <v>43</v>
      </c>
      <c r="E50" s="1" t="s">
        <v>751</v>
      </c>
      <c r="F50" s="1" t="s">
        <v>1635</v>
      </c>
      <c r="G50" s="1" t="s">
        <v>23</v>
      </c>
      <c r="H50" s="1" t="s">
        <v>19</v>
      </c>
      <c r="I50" s="1" t="s">
        <v>103</v>
      </c>
      <c r="J50" s="1" t="s">
        <v>104</v>
      </c>
      <c r="K50" s="1" t="str">
        <f>VLOOKUP(J50,'IU Major Match'!$D$2:$E$65,2,FALSE)</f>
        <v xml:space="preserve">Major exists in IU </v>
      </c>
      <c r="L50" s="1">
        <v>96176621298</v>
      </c>
      <c r="M50" s="1" t="s">
        <v>423</v>
      </c>
      <c r="N50" s="1">
        <v>100</v>
      </c>
      <c r="O50" s="1">
        <v>50</v>
      </c>
      <c r="P50" s="1">
        <v>12</v>
      </c>
      <c r="Q50" s="1">
        <v>38</v>
      </c>
      <c r="R50" s="5">
        <f t="shared" si="0"/>
        <v>0.62</v>
      </c>
      <c r="S50" s="13" t="str">
        <f t="shared" si="1"/>
        <v>&gt;50</v>
      </c>
      <c r="T50" s="14">
        <f t="shared" si="2"/>
        <v>3</v>
      </c>
      <c r="U50" s="14">
        <f t="shared" si="3"/>
        <v>1.5</v>
      </c>
    </row>
    <row r="51" spans="1:21" x14ac:dyDescent="0.25">
      <c r="A51" s="1">
        <v>12134737</v>
      </c>
      <c r="B51" s="1">
        <v>180062</v>
      </c>
      <c r="C51" s="1" t="s">
        <v>1673</v>
      </c>
      <c r="D51" s="1" t="s">
        <v>119</v>
      </c>
      <c r="E51" s="1" t="s">
        <v>1674</v>
      </c>
      <c r="F51" s="1" t="s">
        <v>17</v>
      </c>
      <c r="G51" s="1" t="s">
        <v>23</v>
      </c>
      <c r="H51" s="1" t="s">
        <v>19</v>
      </c>
      <c r="I51" s="1" t="s">
        <v>542</v>
      </c>
      <c r="J51" s="1" t="s">
        <v>543</v>
      </c>
      <c r="K51" s="1" t="str">
        <f>VLOOKUP(J51,'IU Major Match'!$D$2:$E$65,2,FALSE)</f>
        <v xml:space="preserve">Major exists in IU </v>
      </c>
      <c r="L51" s="1">
        <v>96181716314</v>
      </c>
      <c r="M51" s="1" t="s">
        <v>79</v>
      </c>
      <c r="N51" s="1">
        <v>108</v>
      </c>
      <c r="O51" s="1">
        <v>84</v>
      </c>
      <c r="P51" s="1">
        <v>15</v>
      </c>
      <c r="Q51" s="1">
        <v>15</v>
      </c>
      <c r="R51" s="5">
        <f t="shared" si="0"/>
        <v>0.91666666666666663</v>
      </c>
      <c r="S51" s="13" t="str">
        <f t="shared" si="1"/>
        <v>&gt;50</v>
      </c>
      <c r="T51" s="14">
        <f t="shared" si="2"/>
        <v>1</v>
      </c>
      <c r="U51" s="14">
        <f t="shared" si="3"/>
        <v>0.5</v>
      </c>
    </row>
    <row r="52" spans="1:21" x14ac:dyDescent="0.25">
      <c r="A52" s="1">
        <v>12331774</v>
      </c>
      <c r="B52" s="1">
        <v>200927</v>
      </c>
      <c r="C52" s="1" t="s">
        <v>70</v>
      </c>
      <c r="D52" s="1" t="s">
        <v>701</v>
      </c>
      <c r="E52" s="1" t="s">
        <v>1675</v>
      </c>
      <c r="F52" s="1" t="s">
        <v>17</v>
      </c>
      <c r="G52" s="1" t="s">
        <v>18</v>
      </c>
      <c r="H52" s="1" t="s">
        <v>19</v>
      </c>
      <c r="I52" s="1" t="s">
        <v>82</v>
      </c>
      <c r="J52" s="1" t="s">
        <v>83</v>
      </c>
      <c r="K52" s="1" t="str">
        <f>VLOOKUP(J52,'IU Major Match'!$D$2:$E$65,2,FALSE)</f>
        <v>Can be Transferred to Bachelor of Engineering</v>
      </c>
      <c r="L52" s="1">
        <v>96178962292</v>
      </c>
      <c r="M52" s="1" t="s">
        <v>90</v>
      </c>
      <c r="N52" s="1">
        <v>108</v>
      </c>
      <c r="O52" s="1">
        <v>54</v>
      </c>
      <c r="P52" s="1">
        <v>17</v>
      </c>
      <c r="Q52" s="1">
        <v>37</v>
      </c>
      <c r="R52" s="5">
        <f t="shared" si="0"/>
        <v>0.65740740740740744</v>
      </c>
      <c r="S52" s="13" t="str">
        <f t="shared" si="1"/>
        <v>&gt;50</v>
      </c>
      <c r="T52" s="14">
        <f t="shared" si="2"/>
        <v>3</v>
      </c>
      <c r="U52" s="14">
        <f t="shared" si="3"/>
        <v>1.5</v>
      </c>
    </row>
    <row r="53" spans="1:21" x14ac:dyDescent="0.25">
      <c r="A53" s="1">
        <v>12431277</v>
      </c>
      <c r="B53" s="1">
        <v>211187</v>
      </c>
      <c r="C53" s="1" t="s">
        <v>922</v>
      </c>
      <c r="D53" s="1" t="s">
        <v>43</v>
      </c>
      <c r="E53" s="1" t="s">
        <v>1676</v>
      </c>
      <c r="F53" s="1" t="s">
        <v>17</v>
      </c>
      <c r="G53" s="1" t="s">
        <v>93</v>
      </c>
      <c r="H53" s="1" t="s">
        <v>19</v>
      </c>
      <c r="I53" s="1" t="s">
        <v>94</v>
      </c>
      <c r="J53" s="1" t="s">
        <v>95</v>
      </c>
      <c r="K53" s="1" t="str">
        <f>VLOOKUP(J53,'IU Major Match'!$D$2:$E$65,2,FALSE)</f>
        <v xml:space="preserve">Major exists in IU </v>
      </c>
      <c r="L53" s="1">
        <v>96181836914</v>
      </c>
      <c r="M53" s="1" t="s">
        <v>113</v>
      </c>
      <c r="N53" s="1">
        <v>99</v>
      </c>
      <c r="O53" s="1">
        <v>36</v>
      </c>
      <c r="P53" s="1">
        <v>18</v>
      </c>
      <c r="Q53" s="1">
        <v>45</v>
      </c>
      <c r="R53" s="5">
        <f t="shared" si="0"/>
        <v>0.54545454545454541</v>
      </c>
      <c r="S53" s="13" t="str">
        <f t="shared" si="1"/>
        <v>&gt;50</v>
      </c>
      <c r="T53" s="14">
        <f t="shared" si="2"/>
        <v>3</v>
      </c>
      <c r="U53" s="14">
        <f t="shared" si="3"/>
        <v>1.5</v>
      </c>
    </row>
    <row r="54" spans="1:21" x14ac:dyDescent="0.25">
      <c r="A54" s="1">
        <v>92230501</v>
      </c>
      <c r="B54" s="1">
        <v>195481</v>
      </c>
      <c r="C54" s="1" t="s">
        <v>1619</v>
      </c>
      <c r="D54" s="1" t="s">
        <v>286</v>
      </c>
      <c r="E54" s="1" t="s">
        <v>944</v>
      </c>
      <c r="F54" s="1" t="s">
        <v>1603</v>
      </c>
      <c r="G54" s="1" t="s">
        <v>23</v>
      </c>
      <c r="H54" s="1" t="s">
        <v>19</v>
      </c>
      <c r="I54" s="1" t="s">
        <v>116</v>
      </c>
      <c r="J54" s="1" t="s">
        <v>117</v>
      </c>
      <c r="K54" s="1" t="str">
        <f>VLOOKUP(J54,'IU Major Match'!$D$2:$E$65,2,FALSE)</f>
        <v>Major Dont exists in IU</v>
      </c>
      <c r="L54" s="1">
        <v>96170091872</v>
      </c>
      <c r="M54" s="1" t="s">
        <v>153</v>
      </c>
      <c r="N54" s="1">
        <v>99</v>
      </c>
      <c r="O54" s="1">
        <v>92</v>
      </c>
      <c r="P54" s="1">
        <v>7</v>
      </c>
      <c r="Q54" s="1">
        <v>0</v>
      </c>
      <c r="R54" s="5">
        <f t="shared" si="0"/>
        <v>1</v>
      </c>
      <c r="S54" s="13" t="str">
        <f t="shared" si="1"/>
        <v>&gt;50</v>
      </c>
      <c r="T54" s="14">
        <f t="shared" si="2"/>
        <v>0</v>
      </c>
      <c r="U54" s="14">
        <f t="shared" si="3"/>
        <v>0</v>
      </c>
    </row>
    <row r="55" spans="1:21" x14ac:dyDescent="0.25">
      <c r="A55" s="1">
        <v>12531709</v>
      </c>
      <c r="B55" s="1">
        <v>223617</v>
      </c>
      <c r="C55" s="1" t="s">
        <v>959</v>
      </c>
      <c r="D55" s="1" t="s">
        <v>15</v>
      </c>
      <c r="E55" s="1" t="s">
        <v>1677</v>
      </c>
      <c r="F55" s="1" t="s">
        <v>17</v>
      </c>
      <c r="G55" s="1" t="s">
        <v>23</v>
      </c>
      <c r="H55" s="1" t="s">
        <v>19</v>
      </c>
      <c r="I55" s="1" t="s">
        <v>1108</v>
      </c>
      <c r="J55" s="1" t="s">
        <v>1109</v>
      </c>
      <c r="K55" s="1" t="str">
        <f>VLOOKUP(J55,'IU Major Match'!$D$2:$E$65,2,FALSE)</f>
        <v xml:space="preserve">Major exists in IU </v>
      </c>
      <c r="L55" s="1">
        <v>9613793907</v>
      </c>
      <c r="M55" s="1" t="s">
        <v>99</v>
      </c>
      <c r="N55" s="1">
        <v>99</v>
      </c>
      <c r="O55" s="1">
        <v>3</v>
      </c>
      <c r="P55" s="1">
        <v>13</v>
      </c>
      <c r="Q55" s="1">
        <v>91</v>
      </c>
      <c r="R55" s="5">
        <f t="shared" si="0"/>
        <v>0.16161616161616163</v>
      </c>
      <c r="S55" s="13" t="str">
        <f t="shared" si="1"/>
        <v>=&lt;50</v>
      </c>
      <c r="T55" s="14">
        <f t="shared" si="2"/>
        <v>7</v>
      </c>
      <c r="U55" s="14">
        <f t="shared" si="3"/>
        <v>3.5</v>
      </c>
    </row>
    <row r="56" spans="1:21" x14ac:dyDescent="0.25">
      <c r="A56" s="1">
        <v>12330673</v>
      </c>
      <c r="B56" s="1">
        <v>201598</v>
      </c>
      <c r="C56" s="1" t="s">
        <v>959</v>
      </c>
      <c r="D56" s="1" t="s">
        <v>29</v>
      </c>
      <c r="E56" s="1" t="s">
        <v>1678</v>
      </c>
      <c r="F56" s="1" t="s">
        <v>17</v>
      </c>
      <c r="G56" s="1" t="s">
        <v>200</v>
      </c>
      <c r="H56" s="1" t="s">
        <v>19</v>
      </c>
      <c r="I56" s="1" t="s">
        <v>201</v>
      </c>
      <c r="J56" s="1" t="s">
        <v>202</v>
      </c>
      <c r="K56" s="1" t="str">
        <f>VLOOKUP(J56,'IU Major Match'!$D$2:$E$65,2,FALSE)</f>
        <v>Major Dont exists in IU</v>
      </c>
      <c r="L56" s="1">
        <v>81427136</v>
      </c>
      <c r="M56" s="1" t="s">
        <v>90</v>
      </c>
      <c r="N56" s="1">
        <v>65</v>
      </c>
      <c r="O56" s="1">
        <v>41</v>
      </c>
      <c r="P56" s="1">
        <v>13</v>
      </c>
      <c r="Q56" s="1">
        <v>11</v>
      </c>
      <c r="R56" s="5">
        <f t="shared" si="0"/>
        <v>0.83076923076923082</v>
      </c>
      <c r="S56" s="13" t="str">
        <f t="shared" si="1"/>
        <v>&gt;50</v>
      </c>
      <c r="T56" s="14">
        <f t="shared" si="2"/>
        <v>1</v>
      </c>
      <c r="U56" s="14">
        <f t="shared" si="3"/>
        <v>0.5</v>
      </c>
    </row>
    <row r="57" spans="1:21" x14ac:dyDescent="0.25">
      <c r="A57" s="1">
        <v>82430438</v>
      </c>
      <c r="B57" s="1">
        <v>215820</v>
      </c>
      <c r="C57" s="1" t="s">
        <v>1679</v>
      </c>
      <c r="D57" s="1" t="s">
        <v>447</v>
      </c>
      <c r="E57" s="1" t="s">
        <v>514</v>
      </c>
      <c r="F57" s="1" t="s">
        <v>1637</v>
      </c>
      <c r="G57" s="1" t="s">
        <v>23</v>
      </c>
      <c r="H57" s="1" t="s">
        <v>19</v>
      </c>
      <c r="I57" s="1" t="s">
        <v>88</v>
      </c>
      <c r="J57" s="1" t="s">
        <v>89</v>
      </c>
      <c r="K57" s="1" t="str">
        <f>VLOOKUP(J57,'IU Major Match'!$D$2:$E$65,2,FALSE)</f>
        <v xml:space="preserve">Major exists in IU </v>
      </c>
      <c r="L57" s="1">
        <v>76596376</v>
      </c>
      <c r="M57" s="1" t="s">
        <v>113</v>
      </c>
      <c r="N57" s="1">
        <v>99</v>
      </c>
      <c r="O57" s="1">
        <v>40</v>
      </c>
      <c r="P57" s="1">
        <v>16</v>
      </c>
      <c r="Q57" s="1">
        <v>43</v>
      </c>
      <c r="R57" s="5">
        <f t="shared" si="0"/>
        <v>0.56565656565656564</v>
      </c>
      <c r="S57" s="13" t="str">
        <f t="shared" si="1"/>
        <v>&gt;50</v>
      </c>
      <c r="T57" s="14">
        <f t="shared" si="2"/>
        <v>3</v>
      </c>
      <c r="U57" s="14">
        <f t="shared" si="3"/>
        <v>1.5</v>
      </c>
    </row>
    <row r="58" spans="1:21" x14ac:dyDescent="0.25">
      <c r="A58" s="1">
        <v>12520012</v>
      </c>
      <c r="B58" s="1">
        <v>218836</v>
      </c>
      <c r="C58" s="1" t="s">
        <v>1680</v>
      </c>
      <c r="D58" s="1" t="s">
        <v>1681</v>
      </c>
      <c r="E58" s="1" t="s">
        <v>1682</v>
      </c>
      <c r="F58" s="1" t="s">
        <v>17</v>
      </c>
      <c r="G58" s="1" t="s">
        <v>23</v>
      </c>
      <c r="H58" s="1" t="s">
        <v>19</v>
      </c>
      <c r="I58" s="1" t="s">
        <v>1142</v>
      </c>
      <c r="J58" s="1" t="s">
        <v>1143</v>
      </c>
      <c r="K58" s="1" t="str">
        <f>VLOOKUP(J58,'IU Major Match'!$D$2:$E$65,2,FALSE)</f>
        <v xml:space="preserve">Major exists in IU </v>
      </c>
      <c r="L58" s="1">
        <v>96171260982</v>
      </c>
      <c r="M58" s="1" t="s">
        <v>749</v>
      </c>
      <c r="N58" s="1">
        <v>100</v>
      </c>
      <c r="O58" s="1">
        <v>27</v>
      </c>
      <c r="P58" s="1">
        <v>7</v>
      </c>
      <c r="Q58" s="1">
        <v>66</v>
      </c>
      <c r="R58" s="5">
        <f t="shared" si="0"/>
        <v>0.34</v>
      </c>
      <c r="S58" s="13" t="str">
        <f t="shared" si="1"/>
        <v>=&lt;50</v>
      </c>
      <c r="T58" s="14">
        <f t="shared" si="2"/>
        <v>5</v>
      </c>
      <c r="U58" s="14">
        <f t="shared" si="3"/>
        <v>2.5</v>
      </c>
    </row>
    <row r="59" spans="1:21" x14ac:dyDescent="0.25">
      <c r="A59" s="1">
        <v>12133424</v>
      </c>
      <c r="B59" s="1">
        <v>173738</v>
      </c>
      <c r="C59" s="1" t="s">
        <v>1683</v>
      </c>
      <c r="D59" s="1" t="s">
        <v>248</v>
      </c>
      <c r="E59" s="1" t="s">
        <v>1684</v>
      </c>
      <c r="F59" s="1" t="s">
        <v>17</v>
      </c>
      <c r="G59" s="1" t="s">
        <v>23</v>
      </c>
      <c r="H59" s="1" t="s">
        <v>19</v>
      </c>
      <c r="I59" s="1" t="s">
        <v>1142</v>
      </c>
      <c r="J59" s="1" t="s">
        <v>1143</v>
      </c>
      <c r="K59" s="1" t="str">
        <f>VLOOKUP(J59,'IU Major Match'!$D$2:$E$65,2,FALSE)</f>
        <v xml:space="preserve">Major exists in IU </v>
      </c>
      <c r="L59" s="1">
        <v>96178995617</v>
      </c>
      <c r="M59" s="1" t="s">
        <v>79</v>
      </c>
      <c r="N59" s="1">
        <v>100</v>
      </c>
      <c r="O59" s="1">
        <v>84</v>
      </c>
      <c r="P59" s="1">
        <v>16</v>
      </c>
      <c r="Q59" s="1">
        <v>0</v>
      </c>
      <c r="R59" s="5">
        <f t="shared" si="0"/>
        <v>1</v>
      </c>
      <c r="S59" s="13" t="str">
        <f t="shared" si="1"/>
        <v>&gt;50</v>
      </c>
      <c r="T59" s="14">
        <f t="shared" si="2"/>
        <v>0</v>
      </c>
      <c r="U59" s="14">
        <f t="shared" si="3"/>
        <v>0</v>
      </c>
    </row>
    <row r="60" spans="1:21" x14ac:dyDescent="0.25">
      <c r="A60" s="1">
        <v>92530142</v>
      </c>
      <c r="B60" s="1">
        <v>223908</v>
      </c>
      <c r="C60" s="1" t="s">
        <v>16</v>
      </c>
      <c r="D60" s="1" t="s">
        <v>25</v>
      </c>
      <c r="E60" s="1" t="s">
        <v>1463</v>
      </c>
      <c r="F60" s="1" t="s">
        <v>1603</v>
      </c>
      <c r="G60" s="1" t="s">
        <v>18</v>
      </c>
      <c r="H60" s="1" t="s">
        <v>19</v>
      </c>
      <c r="I60" s="1" t="s">
        <v>164</v>
      </c>
      <c r="J60" s="1" t="s">
        <v>165</v>
      </c>
      <c r="K60" s="1" t="str">
        <f>VLOOKUP(J60,'IU Major Match'!$D$2:$E$65,2,FALSE)</f>
        <v>Can be Transferred to Bachelor of Engineering</v>
      </c>
      <c r="L60" s="1">
        <v>71617455</v>
      </c>
      <c r="M60" s="1" t="s">
        <v>99</v>
      </c>
      <c r="N60" s="1">
        <v>108</v>
      </c>
      <c r="O60" s="1">
        <v>24</v>
      </c>
      <c r="P60" s="1">
        <v>18</v>
      </c>
      <c r="Q60" s="1">
        <v>66</v>
      </c>
      <c r="R60" s="5">
        <f t="shared" si="0"/>
        <v>0.3888888888888889</v>
      </c>
      <c r="S60" s="13" t="str">
        <f t="shared" si="1"/>
        <v>=&lt;50</v>
      </c>
      <c r="T60" s="14">
        <f t="shared" si="2"/>
        <v>5</v>
      </c>
      <c r="U60" s="14">
        <f t="shared" si="3"/>
        <v>2.5</v>
      </c>
    </row>
    <row r="61" spans="1:21" x14ac:dyDescent="0.25">
      <c r="A61" s="1">
        <v>92230169</v>
      </c>
      <c r="B61" s="1">
        <v>188692</v>
      </c>
      <c r="C61" s="1" t="s">
        <v>1627</v>
      </c>
      <c r="D61" s="1" t="s">
        <v>15</v>
      </c>
      <c r="E61" s="1" t="s">
        <v>1628</v>
      </c>
      <c r="F61" s="1" t="s">
        <v>1603</v>
      </c>
      <c r="G61" s="1" t="s">
        <v>23</v>
      </c>
      <c r="H61" s="1" t="s">
        <v>19</v>
      </c>
      <c r="I61" s="1" t="s">
        <v>88</v>
      </c>
      <c r="J61" s="1" t="s">
        <v>89</v>
      </c>
      <c r="K61" s="1" t="str">
        <f>VLOOKUP(J61,'IU Major Match'!$D$2:$E$65,2,FALSE)</f>
        <v xml:space="preserve">Major exists in IU </v>
      </c>
      <c r="L61" s="1">
        <v>76390298</v>
      </c>
      <c r="M61" s="1" t="s">
        <v>153</v>
      </c>
      <c r="N61" s="1">
        <v>99</v>
      </c>
      <c r="O61" s="1">
        <v>49</v>
      </c>
      <c r="P61" s="1">
        <v>13</v>
      </c>
      <c r="Q61" s="1">
        <v>37</v>
      </c>
      <c r="R61" s="5">
        <f t="shared" si="0"/>
        <v>0.6262626262626263</v>
      </c>
      <c r="S61" s="13" t="str">
        <f t="shared" si="1"/>
        <v>&gt;50</v>
      </c>
      <c r="T61" s="14">
        <f t="shared" si="2"/>
        <v>3</v>
      </c>
      <c r="U61" s="14">
        <f t="shared" si="3"/>
        <v>1.5</v>
      </c>
    </row>
    <row r="62" spans="1:21" x14ac:dyDescent="0.25">
      <c r="A62" s="1">
        <v>12532328</v>
      </c>
      <c r="B62" s="1">
        <v>226555</v>
      </c>
      <c r="C62" s="1" t="s">
        <v>21</v>
      </c>
      <c r="D62" s="1" t="s">
        <v>1392</v>
      </c>
      <c r="E62" s="1" t="s">
        <v>1685</v>
      </c>
      <c r="F62" s="1" t="s">
        <v>17</v>
      </c>
      <c r="G62" s="1" t="s">
        <v>23</v>
      </c>
      <c r="H62" s="1" t="s">
        <v>19</v>
      </c>
      <c r="I62" s="1" t="s">
        <v>142</v>
      </c>
      <c r="J62" s="1" t="s">
        <v>143</v>
      </c>
      <c r="K62" s="1" t="str">
        <f>VLOOKUP(J62,'IU Major Match'!$D$2:$E$65,2,FALSE)</f>
        <v xml:space="preserve">Major exists in IU </v>
      </c>
      <c r="L62" s="1">
        <v>96181078643</v>
      </c>
      <c r="M62" s="1" t="s">
        <v>99</v>
      </c>
      <c r="N62" s="1">
        <v>99</v>
      </c>
      <c r="O62" s="1">
        <v>0</v>
      </c>
      <c r="P62" s="1">
        <v>7</v>
      </c>
      <c r="Q62" s="1">
        <v>104</v>
      </c>
      <c r="R62" s="5">
        <f t="shared" si="0"/>
        <v>7.0707070707070704E-2</v>
      </c>
      <c r="S62" s="13" t="str">
        <f t="shared" si="1"/>
        <v>=&lt;50</v>
      </c>
      <c r="T62" s="14">
        <f t="shared" si="2"/>
        <v>7</v>
      </c>
      <c r="U62" s="14">
        <f t="shared" si="3"/>
        <v>3.5</v>
      </c>
    </row>
    <row r="63" spans="1:21" x14ac:dyDescent="0.25">
      <c r="A63" s="1">
        <v>12331326</v>
      </c>
      <c r="B63" s="1">
        <v>199706</v>
      </c>
      <c r="C63" s="1" t="s">
        <v>21</v>
      </c>
      <c r="D63" s="1" t="s">
        <v>1686</v>
      </c>
      <c r="E63" s="1" t="s">
        <v>1687</v>
      </c>
      <c r="F63" s="1" t="s">
        <v>17</v>
      </c>
      <c r="G63" s="1" t="s">
        <v>93</v>
      </c>
      <c r="H63" s="1" t="s">
        <v>19</v>
      </c>
      <c r="I63" s="1" t="s">
        <v>216</v>
      </c>
      <c r="J63" s="1" t="s">
        <v>217</v>
      </c>
      <c r="K63" s="1" t="str">
        <f>VLOOKUP(J63,'IU Major Match'!$D$2:$E$65,2,FALSE)</f>
        <v xml:space="preserve">Major exists in IU </v>
      </c>
      <c r="L63" s="1">
        <v>96171543367</v>
      </c>
      <c r="M63" s="1" t="s">
        <v>90</v>
      </c>
      <c r="N63" s="1">
        <v>99</v>
      </c>
      <c r="O63" s="1">
        <v>36</v>
      </c>
      <c r="P63" s="1">
        <v>15</v>
      </c>
      <c r="Q63" s="1">
        <v>48</v>
      </c>
      <c r="R63" s="5">
        <f t="shared" si="0"/>
        <v>0.51515151515151514</v>
      </c>
      <c r="S63" s="13" t="str">
        <f t="shared" si="1"/>
        <v>&gt;50</v>
      </c>
      <c r="T63" s="14">
        <f t="shared" si="2"/>
        <v>4</v>
      </c>
      <c r="U63" s="14">
        <f t="shared" si="3"/>
        <v>2</v>
      </c>
    </row>
    <row r="64" spans="1:21" x14ac:dyDescent="0.25">
      <c r="A64" s="1">
        <v>12210079</v>
      </c>
      <c r="B64" s="1">
        <v>181703</v>
      </c>
      <c r="C64" s="1" t="s">
        <v>731</v>
      </c>
      <c r="D64" s="1" t="s">
        <v>21</v>
      </c>
      <c r="E64" s="1" t="s">
        <v>1688</v>
      </c>
      <c r="F64" s="1" t="s">
        <v>17</v>
      </c>
      <c r="G64" s="1" t="s">
        <v>18</v>
      </c>
      <c r="H64" s="1" t="s">
        <v>19</v>
      </c>
      <c r="I64" s="1" t="s">
        <v>82</v>
      </c>
      <c r="J64" s="1" t="s">
        <v>83</v>
      </c>
      <c r="K64" s="1" t="str">
        <f>VLOOKUP(J64,'IU Major Match'!$D$2:$E$65,2,FALSE)</f>
        <v>Can be Transferred to Bachelor of Engineering</v>
      </c>
      <c r="L64" s="1">
        <v>96170939127</v>
      </c>
      <c r="M64" s="1" t="s">
        <v>387</v>
      </c>
      <c r="N64" s="1">
        <v>108</v>
      </c>
      <c r="O64" s="1">
        <v>66</v>
      </c>
      <c r="P64" s="1">
        <v>14</v>
      </c>
      <c r="Q64" s="1">
        <v>28</v>
      </c>
      <c r="R64" s="5">
        <f t="shared" si="0"/>
        <v>0.7407407407407407</v>
      </c>
      <c r="S64" s="13" t="str">
        <f t="shared" si="1"/>
        <v>&gt;50</v>
      </c>
      <c r="T64" s="14">
        <f t="shared" si="2"/>
        <v>2</v>
      </c>
      <c r="U64" s="14">
        <f t="shared" si="3"/>
        <v>1</v>
      </c>
    </row>
    <row r="65" spans="1:21" x14ac:dyDescent="0.25">
      <c r="A65" s="1">
        <v>12032658</v>
      </c>
      <c r="B65" s="1">
        <v>157554</v>
      </c>
      <c r="C65" s="1" t="s">
        <v>731</v>
      </c>
      <c r="D65" s="1" t="s">
        <v>569</v>
      </c>
      <c r="E65" s="1" t="s">
        <v>1689</v>
      </c>
      <c r="F65" s="1" t="s">
        <v>17</v>
      </c>
      <c r="G65" s="1" t="s">
        <v>23</v>
      </c>
      <c r="H65" s="1" t="s">
        <v>19</v>
      </c>
      <c r="I65" s="1" t="s">
        <v>1142</v>
      </c>
      <c r="J65" s="1" t="s">
        <v>1143</v>
      </c>
      <c r="K65" s="1" t="str">
        <f>VLOOKUP(J65,'IU Major Match'!$D$2:$E$65,2,FALSE)</f>
        <v xml:space="preserve">Major exists in IU </v>
      </c>
      <c r="L65" s="1">
        <v>9613948825</v>
      </c>
      <c r="M65" s="1" t="s">
        <v>51</v>
      </c>
      <c r="N65" s="1">
        <v>100</v>
      </c>
      <c r="O65" s="1">
        <v>37</v>
      </c>
      <c r="P65" s="1">
        <v>10</v>
      </c>
      <c r="Q65" s="1">
        <v>53</v>
      </c>
      <c r="R65" s="5">
        <f t="shared" si="0"/>
        <v>0.47</v>
      </c>
      <c r="S65" s="13" t="str">
        <f t="shared" si="1"/>
        <v>=&lt;50</v>
      </c>
      <c r="T65" s="14">
        <f t="shared" si="2"/>
        <v>4</v>
      </c>
      <c r="U65" s="14">
        <f t="shared" si="3"/>
        <v>2</v>
      </c>
    </row>
    <row r="66" spans="1:21" x14ac:dyDescent="0.25">
      <c r="A66" s="1">
        <v>12231484</v>
      </c>
      <c r="B66" s="1">
        <v>185716</v>
      </c>
      <c r="C66" s="1" t="s">
        <v>1608</v>
      </c>
      <c r="D66" s="1" t="s">
        <v>1690</v>
      </c>
      <c r="E66" s="1" t="s">
        <v>1691</v>
      </c>
      <c r="F66" s="1" t="s">
        <v>17</v>
      </c>
      <c r="G66" s="1" t="s">
        <v>93</v>
      </c>
      <c r="H66" s="1" t="s">
        <v>19</v>
      </c>
      <c r="I66" s="1" t="s">
        <v>320</v>
      </c>
      <c r="J66" s="1" t="s">
        <v>321</v>
      </c>
      <c r="K66" s="1" t="str">
        <f>VLOOKUP(J66,'IU Major Match'!$D$2:$E$65,2,FALSE)</f>
        <v xml:space="preserve">Major exists in IU </v>
      </c>
      <c r="L66" s="1">
        <v>76103564</v>
      </c>
      <c r="M66" s="1" t="s">
        <v>153</v>
      </c>
      <c r="N66" s="1">
        <v>99</v>
      </c>
      <c r="O66" s="1">
        <v>27</v>
      </c>
      <c r="P66" s="1">
        <v>6</v>
      </c>
      <c r="Q66" s="1">
        <v>66</v>
      </c>
      <c r="R66" s="5">
        <f t="shared" si="0"/>
        <v>0.33333333333333331</v>
      </c>
      <c r="S66" s="13" t="str">
        <f t="shared" si="1"/>
        <v>=&lt;50</v>
      </c>
      <c r="T66" s="14">
        <f t="shared" si="2"/>
        <v>5</v>
      </c>
      <c r="U66" s="14">
        <f t="shared" si="3"/>
        <v>2.5</v>
      </c>
    </row>
    <row r="67" spans="1:21" x14ac:dyDescent="0.25">
      <c r="A67" s="1">
        <v>92510025</v>
      </c>
      <c r="B67" s="1">
        <v>218049</v>
      </c>
      <c r="C67" s="1" t="s">
        <v>1629</v>
      </c>
      <c r="D67" s="1" t="s">
        <v>131</v>
      </c>
      <c r="E67" s="1" t="s">
        <v>1611</v>
      </c>
      <c r="F67" s="1" t="s">
        <v>1603</v>
      </c>
      <c r="G67" s="1" t="s">
        <v>93</v>
      </c>
      <c r="H67" s="1" t="s">
        <v>19</v>
      </c>
      <c r="I67" s="1" t="s">
        <v>184</v>
      </c>
      <c r="J67" s="1" t="s">
        <v>185</v>
      </c>
      <c r="K67" s="1" t="str">
        <f>VLOOKUP(J67,'IU Major Match'!$D$2:$E$65,2,FALSE)</f>
        <v>Major Dont exists in IU</v>
      </c>
      <c r="L67" s="1">
        <v>70453378</v>
      </c>
      <c r="M67" s="1" t="s">
        <v>242</v>
      </c>
      <c r="N67" s="1">
        <v>99</v>
      </c>
      <c r="O67" s="1">
        <v>18</v>
      </c>
      <c r="P67" s="1">
        <v>15</v>
      </c>
      <c r="Q67" s="1">
        <v>66</v>
      </c>
      <c r="R67" s="5">
        <f t="shared" ref="R67:R83" si="4">(O67+P67)/N67</f>
        <v>0.33333333333333331</v>
      </c>
      <c r="S67" s="13" t="str">
        <f t="shared" ref="S67:S83" si="5">IF(R67&lt;=50%,"=&lt;50","&gt;50")</f>
        <v>=&lt;50</v>
      </c>
      <c r="T67" s="14">
        <f t="shared" ref="T67:T83" si="6">ROUNDUP(Q67/15,0)</f>
        <v>5</v>
      </c>
      <c r="U67" s="14">
        <f t="shared" ref="U67:U83" si="7">T67/2</f>
        <v>2.5</v>
      </c>
    </row>
    <row r="68" spans="1:21" x14ac:dyDescent="0.25">
      <c r="A68" s="1">
        <v>52330896</v>
      </c>
      <c r="B68" s="1">
        <v>205816</v>
      </c>
      <c r="C68" s="1" t="s">
        <v>1692</v>
      </c>
      <c r="D68" s="1" t="s">
        <v>1693</v>
      </c>
      <c r="E68" s="1" t="s">
        <v>1486</v>
      </c>
      <c r="F68" s="1" t="s">
        <v>1647</v>
      </c>
      <c r="G68" s="1" t="s">
        <v>23</v>
      </c>
      <c r="H68" s="1" t="s">
        <v>19</v>
      </c>
      <c r="I68" s="1" t="s">
        <v>88</v>
      </c>
      <c r="J68" s="1" t="s">
        <v>89</v>
      </c>
      <c r="K68" s="1" t="str">
        <f>VLOOKUP(J68,'IU Major Match'!$D$2:$E$65,2,FALSE)</f>
        <v xml:space="preserve">Major exists in IU </v>
      </c>
      <c r="L68" s="1">
        <v>96170841790</v>
      </c>
      <c r="M68" s="1" t="s">
        <v>90</v>
      </c>
      <c r="N68" s="1">
        <v>99</v>
      </c>
      <c r="O68" s="1">
        <v>67</v>
      </c>
      <c r="P68" s="1">
        <v>13</v>
      </c>
      <c r="Q68" s="1">
        <v>19</v>
      </c>
      <c r="R68" s="5">
        <f t="shared" si="4"/>
        <v>0.80808080808080807</v>
      </c>
      <c r="S68" s="13" t="str">
        <f t="shared" si="5"/>
        <v>&gt;50</v>
      </c>
      <c r="T68" s="14">
        <f t="shared" si="6"/>
        <v>2</v>
      </c>
      <c r="U68" s="14">
        <f t="shared" si="7"/>
        <v>1</v>
      </c>
    </row>
    <row r="69" spans="1:21" x14ac:dyDescent="0.25">
      <c r="A69" s="1">
        <v>12532170</v>
      </c>
      <c r="B69" s="1">
        <v>225776</v>
      </c>
      <c r="C69" s="1" t="s">
        <v>1132</v>
      </c>
      <c r="D69" s="1" t="s">
        <v>1481</v>
      </c>
      <c r="E69" s="1" t="s">
        <v>951</v>
      </c>
      <c r="F69" s="1" t="s">
        <v>17</v>
      </c>
      <c r="G69" s="1" t="s">
        <v>23</v>
      </c>
      <c r="H69" s="1" t="s">
        <v>19</v>
      </c>
      <c r="I69" s="1" t="s">
        <v>890</v>
      </c>
      <c r="J69" s="1" t="s">
        <v>891</v>
      </c>
      <c r="K69" s="1" t="str">
        <f>VLOOKUP(J69,'IU Major Match'!$D$2:$E$65,2,FALSE)</f>
        <v xml:space="preserve">Major exists in IU </v>
      </c>
      <c r="L69" s="1">
        <v>96171353282</v>
      </c>
      <c r="M69" s="1" t="s">
        <v>99</v>
      </c>
      <c r="N69" s="1">
        <v>108</v>
      </c>
      <c r="O69" s="1">
        <v>48</v>
      </c>
      <c r="P69" s="1">
        <v>9</v>
      </c>
      <c r="Q69" s="1">
        <v>51</v>
      </c>
      <c r="R69" s="5">
        <f t="shared" si="4"/>
        <v>0.52777777777777779</v>
      </c>
      <c r="S69" s="13" t="str">
        <f t="shared" si="5"/>
        <v>&gt;50</v>
      </c>
      <c r="T69" s="14">
        <f t="shared" si="6"/>
        <v>4</v>
      </c>
      <c r="U69" s="14">
        <f t="shared" si="7"/>
        <v>2</v>
      </c>
    </row>
    <row r="70" spans="1:21" x14ac:dyDescent="0.25">
      <c r="A70" s="1">
        <v>52530505</v>
      </c>
      <c r="B70" s="1">
        <v>226311</v>
      </c>
      <c r="C70" s="1" t="s">
        <v>1221</v>
      </c>
      <c r="D70" s="1" t="s">
        <v>547</v>
      </c>
      <c r="E70" s="1" t="s">
        <v>951</v>
      </c>
      <c r="F70" s="1" t="s">
        <v>1647</v>
      </c>
      <c r="G70" s="1" t="s">
        <v>18</v>
      </c>
      <c r="H70" s="1" t="s">
        <v>19</v>
      </c>
      <c r="I70" s="1" t="s">
        <v>164</v>
      </c>
      <c r="J70" s="1" t="s">
        <v>165</v>
      </c>
      <c r="K70" s="1" t="str">
        <f>VLOOKUP(J70,'IU Major Match'!$D$2:$E$65,2,FALSE)</f>
        <v>Can be Transferred to Bachelor of Engineering</v>
      </c>
      <c r="L70" s="1">
        <v>81387321</v>
      </c>
      <c r="M70" s="1" t="s">
        <v>99</v>
      </c>
      <c r="N70" s="1">
        <v>108</v>
      </c>
      <c r="O70" s="1">
        <v>7</v>
      </c>
      <c r="P70" s="1">
        <v>18</v>
      </c>
      <c r="Q70" s="1">
        <v>83</v>
      </c>
      <c r="R70" s="5">
        <f t="shared" si="4"/>
        <v>0.23148148148148148</v>
      </c>
      <c r="S70" s="13" t="str">
        <f t="shared" si="5"/>
        <v>=&lt;50</v>
      </c>
      <c r="T70" s="14">
        <f t="shared" si="6"/>
        <v>6</v>
      </c>
      <c r="U70" s="14">
        <f t="shared" si="7"/>
        <v>3</v>
      </c>
    </row>
    <row r="71" spans="1:21" x14ac:dyDescent="0.25">
      <c r="A71" s="1">
        <v>92510024</v>
      </c>
      <c r="B71" s="1">
        <v>218032</v>
      </c>
      <c r="C71" s="1" t="s">
        <v>1228</v>
      </c>
      <c r="D71" s="1" t="s">
        <v>1630</v>
      </c>
      <c r="E71" s="1" t="s">
        <v>1623</v>
      </c>
      <c r="F71" s="1" t="s">
        <v>1603</v>
      </c>
      <c r="G71" s="1" t="s">
        <v>93</v>
      </c>
      <c r="H71" s="1" t="s">
        <v>19</v>
      </c>
      <c r="I71" s="1" t="s">
        <v>124</v>
      </c>
      <c r="J71" s="1" t="s">
        <v>125</v>
      </c>
      <c r="K71" s="1" t="str">
        <f>VLOOKUP(J71,'IU Major Match'!$D$2:$E$65,2,FALSE)</f>
        <v xml:space="preserve">Major exists in IU </v>
      </c>
      <c r="L71" s="1">
        <v>70481423</v>
      </c>
      <c r="M71" s="1" t="s">
        <v>242</v>
      </c>
      <c r="N71" s="1">
        <v>99</v>
      </c>
      <c r="O71" s="1">
        <v>18</v>
      </c>
      <c r="P71" s="1">
        <v>15</v>
      </c>
      <c r="Q71" s="1">
        <v>66</v>
      </c>
      <c r="R71" s="5">
        <f t="shared" si="4"/>
        <v>0.33333333333333331</v>
      </c>
      <c r="S71" s="13" t="str">
        <f t="shared" si="5"/>
        <v>=&lt;50</v>
      </c>
      <c r="T71" s="14">
        <f t="shared" si="6"/>
        <v>5</v>
      </c>
      <c r="U71" s="14">
        <f t="shared" si="7"/>
        <v>2.5</v>
      </c>
    </row>
    <row r="72" spans="1:21" x14ac:dyDescent="0.25">
      <c r="A72" s="1">
        <v>12231170</v>
      </c>
      <c r="B72" s="1">
        <v>185415</v>
      </c>
      <c r="C72" s="1" t="s">
        <v>1631</v>
      </c>
      <c r="D72" s="1" t="s">
        <v>44</v>
      </c>
      <c r="E72" s="1" t="s">
        <v>1694</v>
      </c>
      <c r="F72" s="1" t="s">
        <v>17</v>
      </c>
      <c r="G72" s="1" t="s">
        <v>23</v>
      </c>
      <c r="H72" s="1" t="s">
        <v>19</v>
      </c>
      <c r="I72" s="1" t="s">
        <v>360</v>
      </c>
      <c r="J72" s="1" t="s">
        <v>361</v>
      </c>
      <c r="K72" s="1" t="str">
        <f>VLOOKUP(J72,'IU Major Match'!$D$2:$E$65,2,FALSE)</f>
        <v xml:space="preserve">Major exists in IU </v>
      </c>
      <c r="L72" s="1">
        <v>96176091624</v>
      </c>
      <c r="M72" s="1" t="s">
        <v>153</v>
      </c>
      <c r="N72" s="1">
        <v>108</v>
      </c>
      <c r="O72" s="1">
        <v>99</v>
      </c>
      <c r="P72" s="1">
        <v>9</v>
      </c>
      <c r="Q72" s="1">
        <v>0</v>
      </c>
      <c r="R72" s="5">
        <f t="shared" si="4"/>
        <v>1</v>
      </c>
      <c r="S72" s="13" t="str">
        <f t="shared" si="5"/>
        <v>&gt;50</v>
      </c>
      <c r="T72" s="14">
        <f t="shared" si="6"/>
        <v>0</v>
      </c>
      <c r="U72" s="14">
        <f t="shared" si="7"/>
        <v>0</v>
      </c>
    </row>
    <row r="73" spans="1:21" x14ac:dyDescent="0.25">
      <c r="A73" s="1">
        <v>22030024</v>
      </c>
      <c r="B73" s="1">
        <v>154601</v>
      </c>
      <c r="C73" s="1" t="s">
        <v>1267</v>
      </c>
      <c r="D73" s="1" t="s">
        <v>42</v>
      </c>
      <c r="E73" s="1" t="s">
        <v>1695</v>
      </c>
      <c r="F73" s="1" t="s">
        <v>1635</v>
      </c>
      <c r="G73" s="1" t="s">
        <v>23</v>
      </c>
      <c r="H73" s="1" t="s">
        <v>19</v>
      </c>
      <c r="I73" s="1" t="s">
        <v>761</v>
      </c>
      <c r="J73" s="1" t="s">
        <v>762</v>
      </c>
      <c r="K73" s="1" t="str">
        <f>VLOOKUP(J73,'IU Major Match'!$D$2:$E$65,2,FALSE)</f>
        <v>Major Dont exists in IU</v>
      </c>
      <c r="L73" s="1">
        <v>70599301</v>
      </c>
      <c r="M73" s="1" t="s">
        <v>51</v>
      </c>
      <c r="N73" s="1">
        <v>99</v>
      </c>
      <c r="O73" s="1">
        <v>43</v>
      </c>
      <c r="P73" s="1">
        <v>14</v>
      </c>
      <c r="Q73" s="1">
        <v>49</v>
      </c>
      <c r="R73" s="5">
        <f t="shared" si="4"/>
        <v>0.5757575757575758</v>
      </c>
      <c r="S73" s="13" t="str">
        <f t="shared" si="5"/>
        <v>&gt;50</v>
      </c>
      <c r="T73" s="14">
        <f t="shared" si="6"/>
        <v>4</v>
      </c>
      <c r="U73" s="14">
        <f t="shared" si="7"/>
        <v>2</v>
      </c>
    </row>
    <row r="74" spans="1:21" x14ac:dyDescent="0.25">
      <c r="A74" s="1">
        <v>92310011</v>
      </c>
      <c r="B74" s="1">
        <v>196858</v>
      </c>
      <c r="C74" s="1" t="s">
        <v>239</v>
      </c>
      <c r="D74" s="1" t="s">
        <v>1632</v>
      </c>
      <c r="E74" s="1" t="s">
        <v>1633</v>
      </c>
      <c r="F74" s="1" t="s">
        <v>1603</v>
      </c>
      <c r="G74" s="1" t="s">
        <v>93</v>
      </c>
      <c r="H74" s="1" t="s">
        <v>19</v>
      </c>
      <c r="I74" s="1" t="s">
        <v>107</v>
      </c>
      <c r="J74" s="1" t="s">
        <v>108</v>
      </c>
      <c r="K74" s="1" t="str">
        <f>VLOOKUP(J74,'IU Major Match'!$D$2:$E$65,2,FALSE)</f>
        <v xml:space="preserve">Major exists in IU </v>
      </c>
      <c r="L74" s="1">
        <v>96171864130</v>
      </c>
      <c r="M74" s="1" t="s">
        <v>178</v>
      </c>
      <c r="N74" s="1">
        <v>99</v>
      </c>
      <c r="O74" s="1">
        <v>63</v>
      </c>
      <c r="P74" s="1">
        <v>15</v>
      </c>
      <c r="Q74" s="1">
        <v>21</v>
      </c>
      <c r="R74" s="5">
        <f t="shared" si="4"/>
        <v>0.78787878787878785</v>
      </c>
      <c r="S74" s="13" t="str">
        <f t="shared" si="5"/>
        <v>&gt;50</v>
      </c>
      <c r="T74" s="14">
        <f t="shared" si="6"/>
        <v>2</v>
      </c>
      <c r="U74" s="14">
        <f t="shared" si="7"/>
        <v>1</v>
      </c>
    </row>
    <row r="75" spans="1:21" x14ac:dyDescent="0.25">
      <c r="A75" s="1">
        <v>12233159</v>
      </c>
      <c r="B75" s="1">
        <v>188513</v>
      </c>
      <c r="C75" s="1" t="s">
        <v>1696</v>
      </c>
      <c r="D75" s="1" t="s">
        <v>1697</v>
      </c>
      <c r="E75" s="1" t="s">
        <v>43</v>
      </c>
      <c r="F75" s="1" t="s">
        <v>17</v>
      </c>
      <c r="G75" s="1" t="s">
        <v>93</v>
      </c>
      <c r="H75" s="1" t="s">
        <v>19</v>
      </c>
      <c r="I75" s="1" t="s">
        <v>111</v>
      </c>
      <c r="J75" s="1" t="s">
        <v>112</v>
      </c>
      <c r="K75" s="1" t="str">
        <f>VLOOKUP(J75,'IU Major Match'!$D$2:$E$65,2,FALSE)</f>
        <v xml:space="preserve">Major exists in IU </v>
      </c>
      <c r="L75" s="1">
        <v>76496206</v>
      </c>
      <c r="M75" s="1" t="s">
        <v>153</v>
      </c>
      <c r="N75" s="1">
        <v>99</v>
      </c>
      <c r="O75" s="1">
        <v>78</v>
      </c>
      <c r="P75" s="1">
        <v>18</v>
      </c>
      <c r="Q75" s="1">
        <v>3</v>
      </c>
      <c r="R75" s="5">
        <f t="shared" si="4"/>
        <v>0.96969696969696972</v>
      </c>
      <c r="S75" s="13" t="str">
        <f t="shared" si="5"/>
        <v>&gt;50</v>
      </c>
      <c r="T75" s="14">
        <f t="shared" si="6"/>
        <v>1</v>
      </c>
      <c r="U75" s="14">
        <f t="shared" si="7"/>
        <v>0.5</v>
      </c>
    </row>
    <row r="76" spans="1:21" x14ac:dyDescent="0.25">
      <c r="A76" s="1">
        <v>12332097</v>
      </c>
      <c r="B76" s="1">
        <v>202051</v>
      </c>
      <c r="C76" s="1" t="s">
        <v>170</v>
      </c>
      <c r="D76" s="1" t="s">
        <v>1481</v>
      </c>
      <c r="E76" s="1" t="s">
        <v>1005</v>
      </c>
      <c r="F76" s="1" t="s">
        <v>17</v>
      </c>
      <c r="G76" s="1" t="s">
        <v>23</v>
      </c>
      <c r="H76" s="1" t="s">
        <v>19</v>
      </c>
      <c r="I76" s="1" t="s">
        <v>103</v>
      </c>
      <c r="J76" s="1" t="s">
        <v>104</v>
      </c>
      <c r="K76" s="1" t="str">
        <f>VLOOKUP(J76,'IU Major Match'!$D$2:$E$65,2,FALSE)</f>
        <v xml:space="preserve">Major exists in IU </v>
      </c>
      <c r="L76" s="1">
        <v>96181781241</v>
      </c>
      <c r="M76" s="1" t="s">
        <v>90</v>
      </c>
      <c r="N76" s="1">
        <v>100</v>
      </c>
      <c r="O76" s="1">
        <v>44</v>
      </c>
      <c r="P76" s="1">
        <v>12</v>
      </c>
      <c r="Q76" s="1">
        <v>44</v>
      </c>
      <c r="R76" s="5">
        <f t="shared" si="4"/>
        <v>0.56000000000000005</v>
      </c>
      <c r="S76" s="13" t="str">
        <f t="shared" si="5"/>
        <v>&gt;50</v>
      </c>
      <c r="T76" s="14">
        <f t="shared" si="6"/>
        <v>3</v>
      </c>
      <c r="U76" s="14">
        <f t="shared" si="7"/>
        <v>1.5</v>
      </c>
    </row>
    <row r="77" spans="1:21" x14ac:dyDescent="0.25">
      <c r="A77" s="1">
        <v>51930165</v>
      </c>
      <c r="B77" s="1">
        <v>206928</v>
      </c>
      <c r="C77" s="1" t="s">
        <v>1698</v>
      </c>
      <c r="D77" s="1" t="s">
        <v>418</v>
      </c>
      <c r="E77" s="1" t="s">
        <v>1699</v>
      </c>
      <c r="F77" s="1" t="s">
        <v>1647</v>
      </c>
      <c r="G77" s="1" t="s">
        <v>23</v>
      </c>
      <c r="H77" s="1" t="s">
        <v>19</v>
      </c>
      <c r="I77" s="1" t="s">
        <v>542</v>
      </c>
      <c r="J77" s="1" t="s">
        <v>543</v>
      </c>
      <c r="K77" s="1" t="str">
        <f>VLOOKUP(J77,'IU Major Match'!$D$2:$E$65,2,FALSE)</f>
        <v xml:space="preserve">Major exists in IU </v>
      </c>
      <c r="L77" s="1">
        <v>96171418296</v>
      </c>
      <c r="M77" s="1" t="s">
        <v>90</v>
      </c>
      <c r="N77" s="1">
        <v>108</v>
      </c>
      <c r="O77" s="1">
        <v>93</v>
      </c>
      <c r="P77" s="1">
        <v>15</v>
      </c>
      <c r="Q77" s="1">
        <v>0</v>
      </c>
      <c r="R77" s="5">
        <f t="shared" si="4"/>
        <v>1</v>
      </c>
      <c r="S77" s="13" t="str">
        <f t="shared" si="5"/>
        <v>&gt;50</v>
      </c>
      <c r="T77" s="14">
        <f t="shared" si="6"/>
        <v>0</v>
      </c>
      <c r="U77" s="14">
        <f t="shared" si="7"/>
        <v>0</v>
      </c>
    </row>
    <row r="78" spans="1:21" x14ac:dyDescent="0.25">
      <c r="A78" s="1">
        <v>12332792</v>
      </c>
      <c r="B78" s="1">
        <v>204514</v>
      </c>
      <c r="C78" s="1" t="s">
        <v>72</v>
      </c>
      <c r="D78" s="1" t="s">
        <v>16</v>
      </c>
      <c r="E78" s="1" t="s">
        <v>1612</v>
      </c>
      <c r="F78" s="1" t="s">
        <v>17</v>
      </c>
      <c r="G78" s="1" t="s">
        <v>18</v>
      </c>
      <c r="H78" s="1" t="s">
        <v>19</v>
      </c>
      <c r="I78" s="1" t="s">
        <v>82</v>
      </c>
      <c r="J78" s="1" t="s">
        <v>83</v>
      </c>
      <c r="K78" s="1" t="str">
        <f>VLOOKUP(J78,'IU Major Match'!$D$2:$E$65,2,FALSE)</f>
        <v>Can be Transferred to Bachelor of Engineering</v>
      </c>
      <c r="L78" s="1">
        <v>96178876648</v>
      </c>
      <c r="M78" s="1" t="s">
        <v>90</v>
      </c>
      <c r="N78" s="1">
        <v>108</v>
      </c>
      <c r="O78" s="1">
        <v>69</v>
      </c>
      <c r="P78" s="1">
        <v>11</v>
      </c>
      <c r="Q78" s="1">
        <v>28</v>
      </c>
      <c r="R78" s="5">
        <f t="shared" si="4"/>
        <v>0.7407407407407407</v>
      </c>
      <c r="S78" s="13" t="str">
        <f t="shared" si="5"/>
        <v>&gt;50</v>
      </c>
      <c r="T78" s="14">
        <f t="shared" si="6"/>
        <v>2</v>
      </c>
      <c r="U78" s="14">
        <f t="shared" si="7"/>
        <v>1</v>
      </c>
    </row>
    <row r="79" spans="1:21" x14ac:dyDescent="0.25">
      <c r="A79" s="1">
        <v>12330234</v>
      </c>
      <c r="B79" s="1">
        <v>198488</v>
      </c>
      <c r="C79" s="1" t="s">
        <v>305</v>
      </c>
      <c r="D79" s="1" t="s">
        <v>1700</v>
      </c>
      <c r="E79" s="1" t="s">
        <v>1701</v>
      </c>
      <c r="F79" s="1" t="s">
        <v>17</v>
      </c>
      <c r="G79" s="1" t="s">
        <v>23</v>
      </c>
      <c r="H79" s="1" t="s">
        <v>19</v>
      </c>
      <c r="I79" s="1" t="s">
        <v>250</v>
      </c>
      <c r="J79" s="1" t="s">
        <v>251</v>
      </c>
      <c r="K79" s="1" t="str">
        <f>VLOOKUP(J79,'IU Major Match'!$D$2:$E$65,2,FALSE)</f>
        <v xml:space="preserve">Major exists in IU </v>
      </c>
      <c r="L79" s="1">
        <v>96176602098</v>
      </c>
      <c r="M79" s="1" t="s">
        <v>90</v>
      </c>
      <c r="N79" s="1">
        <v>99</v>
      </c>
      <c r="O79" s="1">
        <v>30</v>
      </c>
      <c r="P79" s="1">
        <v>18</v>
      </c>
      <c r="Q79" s="1">
        <v>51</v>
      </c>
      <c r="R79" s="5">
        <f t="shared" si="4"/>
        <v>0.48484848484848486</v>
      </c>
      <c r="S79" s="13" t="str">
        <f t="shared" si="5"/>
        <v>=&lt;50</v>
      </c>
      <c r="T79" s="14">
        <f t="shared" si="6"/>
        <v>4</v>
      </c>
      <c r="U79" s="14">
        <f t="shared" si="7"/>
        <v>2</v>
      </c>
    </row>
    <row r="80" spans="1:21" x14ac:dyDescent="0.25">
      <c r="A80" s="1">
        <v>42030222</v>
      </c>
      <c r="B80" s="1">
        <v>155045</v>
      </c>
      <c r="C80" s="1" t="s">
        <v>69</v>
      </c>
      <c r="D80" s="1" t="s">
        <v>325</v>
      </c>
      <c r="E80" s="1" t="s">
        <v>390</v>
      </c>
      <c r="F80" s="1" t="s">
        <v>1642</v>
      </c>
      <c r="G80" s="1" t="s">
        <v>93</v>
      </c>
      <c r="H80" s="1" t="s">
        <v>19</v>
      </c>
      <c r="I80" s="1" t="s">
        <v>124</v>
      </c>
      <c r="J80" s="1" t="s">
        <v>125</v>
      </c>
      <c r="K80" s="1" t="str">
        <f>VLOOKUP(J80,'IU Major Match'!$D$2:$E$65,2,FALSE)</f>
        <v xml:space="preserve">Major exists in IU </v>
      </c>
      <c r="L80" s="1">
        <v>96176084547</v>
      </c>
      <c r="M80" s="1" t="s">
        <v>51</v>
      </c>
      <c r="N80" s="1">
        <v>99</v>
      </c>
      <c r="O80" s="1">
        <v>36</v>
      </c>
      <c r="P80" s="1">
        <v>18</v>
      </c>
      <c r="Q80" s="1">
        <v>45</v>
      </c>
      <c r="R80" s="5">
        <f t="shared" si="4"/>
        <v>0.54545454545454541</v>
      </c>
      <c r="S80" s="13" t="str">
        <f t="shared" si="5"/>
        <v>&gt;50</v>
      </c>
      <c r="T80" s="14">
        <f t="shared" si="6"/>
        <v>3</v>
      </c>
      <c r="U80" s="14">
        <f t="shared" si="7"/>
        <v>1.5</v>
      </c>
    </row>
    <row r="81" spans="1:21" x14ac:dyDescent="0.25">
      <c r="A81" s="1">
        <v>12210345</v>
      </c>
      <c r="B81" s="1">
        <v>182155</v>
      </c>
      <c r="C81" s="1" t="s">
        <v>69</v>
      </c>
      <c r="D81" s="1" t="s">
        <v>1620</v>
      </c>
      <c r="E81" s="1" t="s">
        <v>1453</v>
      </c>
      <c r="F81" s="1" t="s">
        <v>17</v>
      </c>
      <c r="G81" s="1" t="s">
        <v>23</v>
      </c>
      <c r="H81" s="1" t="s">
        <v>19</v>
      </c>
      <c r="I81" s="1" t="s">
        <v>88</v>
      </c>
      <c r="J81" s="1" t="s">
        <v>89</v>
      </c>
      <c r="K81" s="1" t="str">
        <f>VLOOKUP(J81,'IU Major Match'!$D$2:$E$65,2,FALSE)</f>
        <v xml:space="preserve">Major exists in IU </v>
      </c>
      <c r="L81" s="1">
        <v>79176972</v>
      </c>
      <c r="M81" s="1" t="s">
        <v>387</v>
      </c>
      <c r="N81" s="1">
        <v>99</v>
      </c>
      <c r="O81" s="1">
        <v>33</v>
      </c>
      <c r="P81" s="1">
        <v>18</v>
      </c>
      <c r="Q81" s="1">
        <v>48</v>
      </c>
      <c r="R81" s="5">
        <f t="shared" si="4"/>
        <v>0.51515151515151514</v>
      </c>
      <c r="S81" s="13" t="str">
        <f t="shared" si="5"/>
        <v>&gt;50</v>
      </c>
      <c r="T81" s="14">
        <f t="shared" si="6"/>
        <v>4</v>
      </c>
      <c r="U81" s="14">
        <f t="shared" si="7"/>
        <v>2</v>
      </c>
    </row>
    <row r="82" spans="1:21" x14ac:dyDescent="0.25">
      <c r="A82" s="1">
        <v>22230706</v>
      </c>
      <c r="B82" s="1">
        <v>191061</v>
      </c>
      <c r="C82" s="1" t="s">
        <v>1702</v>
      </c>
      <c r="D82" s="1" t="s">
        <v>16</v>
      </c>
      <c r="E82" s="1" t="s">
        <v>325</v>
      </c>
      <c r="F82" s="1" t="s">
        <v>1635</v>
      </c>
      <c r="G82" s="1" t="s">
        <v>23</v>
      </c>
      <c r="H82" s="1" t="s">
        <v>19</v>
      </c>
      <c r="I82" s="1" t="s">
        <v>360</v>
      </c>
      <c r="J82" s="1" t="s">
        <v>361</v>
      </c>
      <c r="K82" s="1" t="str">
        <f>VLOOKUP(J82,'IU Major Match'!$D$2:$E$65,2,FALSE)</f>
        <v xml:space="preserve">Major exists in IU </v>
      </c>
      <c r="L82" s="1">
        <v>79173567</v>
      </c>
      <c r="M82" s="1" t="s">
        <v>153</v>
      </c>
      <c r="N82" s="1">
        <v>108</v>
      </c>
      <c r="O82" s="1">
        <v>99</v>
      </c>
      <c r="P82" s="1">
        <v>9</v>
      </c>
      <c r="Q82" s="1">
        <v>0</v>
      </c>
      <c r="R82" s="5">
        <f t="shared" si="4"/>
        <v>1</v>
      </c>
      <c r="S82" s="13" t="str">
        <f t="shared" si="5"/>
        <v>&gt;50</v>
      </c>
      <c r="T82" s="14">
        <f t="shared" si="6"/>
        <v>0</v>
      </c>
      <c r="U82" s="14">
        <f t="shared" si="7"/>
        <v>0</v>
      </c>
    </row>
    <row r="83" spans="1:21" x14ac:dyDescent="0.25">
      <c r="A83" s="1">
        <v>12610109</v>
      </c>
      <c r="B83" s="1">
        <v>227235</v>
      </c>
      <c r="C83" s="1" t="s">
        <v>1393</v>
      </c>
      <c r="D83" s="1" t="s">
        <v>170</v>
      </c>
      <c r="E83" s="1" t="s">
        <v>1703</v>
      </c>
      <c r="F83" s="1" t="s">
        <v>17</v>
      </c>
      <c r="G83" s="1" t="s">
        <v>23</v>
      </c>
      <c r="H83" s="1" t="s">
        <v>19</v>
      </c>
      <c r="I83" s="1" t="s">
        <v>142</v>
      </c>
      <c r="J83" s="1" t="s">
        <v>143</v>
      </c>
      <c r="K83" s="1" t="str">
        <f>VLOOKUP(J83,'IU Major Match'!$D$2:$E$65,2,FALSE)</f>
        <v xml:space="preserve">Major exists in IU </v>
      </c>
      <c r="L83" s="1">
        <v>96176330780</v>
      </c>
      <c r="M83" s="1" t="s">
        <v>84</v>
      </c>
      <c r="N83" s="1">
        <v>99</v>
      </c>
      <c r="O83" s="1">
        <v>0</v>
      </c>
      <c r="P83" s="1">
        <v>10</v>
      </c>
      <c r="Q83" s="1">
        <v>99</v>
      </c>
      <c r="R83" s="5">
        <f t="shared" si="4"/>
        <v>0.10101010101010101</v>
      </c>
      <c r="S83" s="13" t="str">
        <f t="shared" si="5"/>
        <v>=&lt;50</v>
      </c>
      <c r="T83" s="14">
        <f t="shared" si="6"/>
        <v>7</v>
      </c>
      <c r="U83" s="14">
        <f t="shared" si="7"/>
        <v>3.5</v>
      </c>
    </row>
  </sheetData>
  <autoFilter ref="A1:U83" xr:uid="{00000000-0009-0000-0000-000001000000}"/>
  <conditionalFormatting sqref="S2:S83">
    <cfRule type="endsWith" dxfId="5" priority="1" operator="endsWith" text="&lt;50">
      <formula>RIGHT(S2,LEN("&lt;50"))="&lt;50"</formula>
    </cfRule>
    <cfRule type="containsText" dxfId="4" priority="2" operator="containsText" text="&gt;50">
      <formula>NOT(ISERROR(SEARCH("&gt;50",S2)))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54"/>
  <sheetViews>
    <sheetView workbookViewId="0">
      <selection activeCell="D10" sqref="D10"/>
    </sheetView>
    <sheetView workbookViewId="1">
      <selection activeCell="A19" sqref="A19"/>
    </sheetView>
  </sheetViews>
  <sheetFormatPr defaultRowHeight="15" x14ac:dyDescent="0.25"/>
  <cols>
    <col min="1" max="1" width="9" bestFit="1" customWidth="1"/>
    <col min="2" max="2" width="7" bestFit="1" customWidth="1"/>
    <col min="3" max="3" width="13.5703125" bestFit="1" customWidth="1"/>
    <col min="4" max="4" width="20" bestFit="1" customWidth="1"/>
    <col min="5" max="5" width="21.140625" bestFit="1" customWidth="1"/>
    <col min="6" max="6" width="13.28515625" bestFit="1" customWidth="1"/>
    <col min="7" max="7" width="6" bestFit="1" customWidth="1"/>
    <col min="8" max="8" width="12.85546875" bestFit="1" customWidth="1"/>
    <col min="9" max="9" width="7.28515625" bestFit="1" customWidth="1"/>
    <col min="10" max="10" width="71.140625" customWidth="1"/>
    <col min="11" max="11" width="63.5703125" customWidth="1"/>
    <col min="12" max="12" width="12" bestFit="1" customWidth="1"/>
    <col min="13" max="13" width="17.85546875" bestFit="1" customWidth="1"/>
    <col min="14" max="14" width="11.5703125" bestFit="1" customWidth="1"/>
    <col min="15" max="15" width="9.7109375" bestFit="1" customWidth="1"/>
    <col min="16" max="16" width="10.28515625" bestFit="1" customWidth="1"/>
    <col min="17" max="17" width="10.140625" bestFit="1" customWidth="1"/>
    <col min="21" max="21" width="16.42578125" bestFit="1" customWidth="1"/>
  </cols>
  <sheetData>
    <row r="1" spans="1:21" x14ac:dyDescent="0.25">
      <c r="A1" s="2" t="s">
        <v>0</v>
      </c>
      <c r="B1" s="2" t="s">
        <v>1</v>
      </c>
      <c r="C1" s="2" t="s">
        <v>74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1706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10" t="s">
        <v>1704</v>
      </c>
      <c r="S1" s="3" t="s">
        <v>1722</v>
      </c>
      <c r="T1" s="10" t="s">
        <v>1724</v>
      </c>
      <c r="U1" s="10" t="s">
        <v>1723</v>
      </c>
    </row>
    <row r="2" spans="1:21" x14ac:dyDescent="0.25">
      <c r="A2" s="1">
        <v>62030065</v>
      </c>
      <c r="B2" s="1">
        <v>212080</v>
      </c>
      <c r="C2" s="1" t="s">
        <v>298</v>
      </c>
      <c r="D2" s="1" t="s">
        <v>1413</v>
      </c>
      <c r="E2" s="1" t="s">
        <v>796</v>
      </c>
      <c r="F2" s="1" t="s">
        <v>76</v>
      </c>
      <c r="G2" s="1" t="s">
        <v>18</v>
      </c>
      <c r="H2" s="1" t="s">
        <v>1414</v>
      </c>
      <c r="I2" s="1" t="s">
        <v>1415</v>
      </c>
      <c r="J2" s="1" t="s">
        <v>1416</v>
      </c>
      <c r="K2" s="1" t="e">
        <f>VLOOKUP(J2,'IU Major Match'!$D$2:$E$65,2,FALSE)</f>
        <v>#N/A</v>
      </c>
      <c r="L2" s="1">
        <v>76460069</v>
      </c>
      <c r="M2" s="1" t="s">
        <v>113</v>
      </c>
      <c r="N2" s="1">
        <v>52</v>
      </c>
      <c r="O2" s="1">
        <v>39</v>
      </c>
      <c r="P2" s="1">
        <v>13</v>
      </c>
      <c r="Q2" s="1">
        <v>0</v>
      </c>
      <c r="R2" s="5">
        <f>(O2+P2)/N2</f>
        <v>1</v>
      </c>
      <c r="S2" s="13" t="str">
        <f>IF(R2&lt;=50%,"=&lt;50","&gt;50")</f>
        <v>&gt;50</v>
      </c>
      <c r="T2" s="14">
        <f>ROUNDUP(Q2/15,0)</f>
        <v>0</v>
      </c>
      <c r="U2" s="14">
        <f>T2/2</f>
        <v>0</v>
      </c>
    </row>
    <row r="3" spans="1:21" x14ac:dyDescent="0.25">
      <c r="A3" s="1">
        <v>61730314</v>
      </c>
      <c r="B3" s="1">
        <v>123653</v>
      </c>
      <c r="C3" s="1" t="s">
        <v>1417</v>
      </c>
      <c r="D3" s="1" t="s">
        <v>569</v>
      </c>
      <c r="E3" s="1" t="s">
        <v>741</v>
      </c>
      <c r="F3" s="1" t="s">
        <v>76</v>
      </c>
      <c r="G3" s="1" t="s">
        <v>93</v>
      </c>
      <c r="H3" s="1" t="s">
        <v>19</v>
      </c>
      <c r="I3" s="1" t="s">
        <v>168</v>
      </c>
      <c r="J3" s="1" t="s">
        <v>169</v>
      </c>
      <c r="K3" s="1" t="str">
        <f>VLOOKUP(J3,'IU Major Match'!$D$2:$E$65,2,FALSE)</f>
        <v>Major Dont exists in IU</v>
      </c>
      <c r="L3" s="1">
        <v>96171862670</v>
      </c>
      <c r="M3" s="1" t="s">
        <v>22</v>
      </c>
      <c r="N3" s="1">
        <v>99</v>
      </c>
      <c r="O3" s="1">
        <v>54</v>
      </c>
      <c r="P3" s="1">
        <v>18</v>
      </c>
      <c r="Q3" s="1">
        <v>27</v>
      </c>
      <c r="R3" s="5">
        <f t="shared" ref="R3:R66" si="0">(O3+P3)/N3</f>
        <v>0.72727272727272729</v>
      </c>
      <c r="S3" s="13" t="str">
        <f t="shared" ref="S3:S66" si="1">IF(R3&lt;=50%,"=&lt;50","&gt;50")</f>
        <v>&gt;50</v>
      </c>
      <c r="T3" s="14">
        <f t="shared" ref="T3:T66" si="2">ROUNDUP(Q3/15,0)</f>
        <v>2</v>
      </c>
      <c r="U3" s="14">
        <f t="shared" ref="U3:U66" si="3">T3/2</f>
        <v>1</v>
      </c>
    </row>
    <row r="4" spans="1:21" x14ac:dyDescent="0.25">
      <c r="A4" s="1">
        <v>62130065</v>
      </c>
      <c r="B4" s="1">
        <v>224410</v>
      </c>
      <c r="C4" s="1" t="s">
        <v>15</v>
      </c>
      <c r="D4" s="1" t="s">
        <v>42</v>
      </c>
      <c r="E4" s="1" t="s">
        <v>1418</v>
      </c>
      <c r="F4" s="1" t="s">
        <v>76</v>
      </c>
      <c r="G4" s="1" t="s">
        <v>18</v>
      </c>
      <c r="H4" s="1" t="s">
        <v>1414</v>
      </c>
      <c r="I4" s="1" t="s">
        <v>1419</v>
      </c>
      <c r="J4" s="1" t="s">
        <v>1420</v>
      </c>
      <c r="K4" s="1" t="e">
        <f>VLOOKUP(J4,'IU Major Match'!$D$2:$E$65,2,FALSE)</f>
        <v>#N/A</v>
      </c>
      <c r="L4" s="1">
        <v>96171456137</v>
      </c>
      <c r="M4" s="1" t="s">
        <v>99</v>
      </c>
      <c r="N4" s="1">
        <v>52</v>
      </c>
      <c r="O4" s="1">
        <v>13</v>
      </c>
      <c r="P4" s="1">
        <v>13</v>
      </c>
      <c r="Q4" s="1">
        <v>26</v>
      </c>
      <c r="R4" s="5">
        <f t="shared" si="0"/>
        <v>0.5</v>
      </c>
      <c r="S4" s="13" t="str">
        <f t="shared" si="1"/>
        <v>=&lt;50</v>
      </c>
      <c r="T4" s="14">
        <f t="shared" si="2"/>
        <v>2</v>
      </c>
      <c r="U4" s="14">
        <f t="shared" si="3"/>
        <v>1</v>
      </c>
    </row>
    <row r="5" spans="1:21" x14ac:dyDescent="0.25">
      <c r="A5" s="1">
        <v>61930339</v>
      </c>
      <c r="B5" s="1">
        <v>208836</v>
      </c>
      <c r="C5" s="1" t="s">
        <v>135</v>
      </c>
      <c r="D5" s="1" t="s">
        <v>383</v>
      </c>
      <c r="E5" s="1" t="s">
        <v>935</v>
      </c>
      <c r="F5" s="1" t="s">
        <v>76</v>
      </c>
      <c r="G5" s="1" t="s">
        <v>18</v>
      </c>
      <c r="H5" s="1" t="s">
        <v>1414</v>
      </c>
      <c r="I5" s="1" t="s">
        <v>1421</v>
      </c>
      <c r="J5" s="1" t="s">
        <v>1422</v>
      </c>
      <c r="K5" s="1" t="e">
        <f>VLOOKUP(J5,'IU Major Match'!$D$2:$E$65,2,FALSE)</f>
        <v>#N/A</v>
      </c>
      <c r="L5" s="1">
        <v>3438162</v>
      </c>
      <c r="M5" s="1" t="s">
        <v>362</v>
      </c>
      <c r="N5" s="1">
        <v>52</v>
      </c>
      <c r="O5" s="1">
        <v>15</v>
      </c>
      <c r="P5" s="1">
        <v>13</v>
      </c>
      <c r="Q5" s="1">
        <v>22</v>
      </c>
      <c r="R5" s="5">
        <f t="shared" si="0"/>
        <v>0.53846153846153844</v>
      </c>
      <c r="S5" s="13" t="str">
        <f t="shared" si="1"/>
        <v>&gt;50</v>
      </c>
      <c r="T5" s="14">
        <f t="shared" si="2"/>
        <v>2</v>
      </c>
      <c r="U5" s="14">
        <f t="shared" si="3"/>
        <v>1</v>
      </c>
    </row>
    <row r="6" spans="1:21" x14ac:dyDescent="0.25">
      <c r="A6" s="1">
        <v>62230151</v>
      </c>
      <c r="B6" s="1">
        <v>186438</v>
      </c>
      <c r="C6" s="1" t="s">
        <v>24</v>
      </c>
      <c r="D6" s="1" t="s">
        <v>70</v>
      </c>
      <c r="E6" s="1" t="s">
        <v>904</v>
      </c>
      <c r="F6" s="1" t="s">
        <v>76</v>
      </c>
      <c r="G6" s="1" t="s">
        <v>23</v>
      </c>
      <c r="H6" s="1" t="s">
        <v>19</v>
      </c>
      <c r="I6" s="1" t="s">
        <v>1142</v>
      </c>
      <c r="J6" s="1" t="s">
        <v>1143</v>
      </c>
      <c r="K6" s="1" t="str">
        <f>VLOOKUP(J6,'IU Major Match'!$D$2:$E$65,2,FALSE)</f>
        <v xml:space="preserve">Major exists in IU </v>
      </c>
      <c r="L6" s="1">
        <v>96171466634</v>
      </c>
      <c r="M6" s="1" t="s">
        <v>153</v>
      </c>
      <c r="N6" s="1">
        <v>100</v>
      </c>
      <c r="O6" s="1">
        <v>91</v>
      </c>
      <c r="P6" s="1">
        <v>9</v>
      </c>
      <c r="Q6" s="1">
        <v>0</v>
      </c>
      <c r="R6" s="5">
        <f t="shared" si="0"/>
        <v>1</v>
      </c>
      <c r="S6" s="13" t="str">
        <f t="shared" si="1"/>
        <v>&gt;50</v>
      </c>
      <c r="T6" s="14">
        <f t="shared" si="2"/>
        <v>0</v>
      </c>
      <c r="U6" s="14">
        <f t="shared" si="3"/>
        <v>0</v>
      </c>
    </row>
    <row r="7" spans="1:21" x14ac:dyDescent="0.25">
      <c r="A7" s="1">
        <v>61810014</v>
      </c>
      <c r="B7" s="1">
        <v>223663</v>
      </c>
      <c r="C7" s="1" t="s">
        <v>1423</v>
      </c>
      <c r="D7" s="1" t="s">
        <v>155</v>
      </c>
      <c r="E7" s="1" t="s">
        <v>1424</v>
      </c>
      <c r="F7" s="1" t="s">
        <v>76</v>
      </c>
      <c r="G7" s="1" t="s">
        <v>68</v>
      </c>
      <c r="H7" s="1" t="s">
        <v>1414</v>
      </c>
      <c r="I7" s="1" t="s">
        <v>1425</v>
      </c>
      <c r="J7" s="1" t="s">
        <v>1426</v>
      </c>
      <c r="K7" s="1" t="e">
        <f>VLOOKUP(J7,'IU Major Match'!$D$2:$E$65,2,FALSE)</f>
        <v>#N/A</v>
      </c>
      <c r="L7" s="1">
        <v>71064490</v>
      </c>
      <c r="M7" s="1" t="s">
        <v>99</v>
      </c>
      <c r="N7" s="1">
        <v>28</v>
      </c>
      <c r="O7" s="1">
        <v>14</v>
      </c>
      <c r="P7" s="1">
        <v>14</v>
      </c>
      <c r="Q7" s="1">
        <v>0</v>
      </c>
      <c r="R7" s="5">
        <f t="shared" si="0"/>
        <v>1</v>
      </c>
      <c r="S7" s="13" t="str">
        <f t="shared" si="1"/>
        <v>&gt;50</v>
      </c>
      <c r="T7" s="14">
        <f t="shared" si="2"/>
        <v>0</v>
      </c>
      <c r="U7" s="14">
        <f t="shared" si="3"/>
        <v>0</v>
      </c>
    </row>
    <row r="8" spans="1:21" x14ac:dyDescent="0.25">
      <c r="A8" s="1">
        <v>62330313</v>
      </c>
      <c r="B8" s="1">
        <v>206119</v>
      </c>
      <c r="C8" s="1" t="s">
        <v>1427</v>
      </c>
      <c r="D8" s="1" t="s">
        <v>285</v>
      </c>
      <c r="E8" s="1" t="s">
        <v>65</v>
      </c>
      <c r="F8" s="1" t="s">
        <v>76</v>
      </c>
      <c r="G8" s="1" t="s">
        <v>23</v>
      </c>
      <c r="H8" s="1" t="s">
        <v>19</v>
      </c>
      <c r="I8" s="1" t="s">
        <v>761</v>
      </c>
      <c r="J8" s="1" t="s">
        <v>762</v>
      </c>
      <c r="K8" s="1" t="str">
        <f>VLOOKUP(J8,'IU Major Match'!$D$2:$E$65,2,FALSE)</f>
        <v>Major Dont exists in IU</v>
      </c>
      <c r="L8" s="1">
        <v>96179315884</v>
      </c>
      <c r="M8" s="1" t="s">
        <v>90</v>
      </c>
      <c r="N8" s="1">
        <v>99</v>
      </c>
      <c r="O8" s="1">
        <v>83</v>
      </c>
      <c r="P8" s="1">
        <v>11</v>
      </c>
      <c r="Q8" s="1">
        <v>5</v>
      </c>
      <c r="R8" s="5">
        <f t="shared" si="0"/>
        <v>0.9494949494949495</v>
      </c>
      <c r="S8" s="13" t="str">
        <f t="shared" si="1"/>
        <v>&gt;50</v>
      </c>
      <c r="T8" s="14">
        <f t="shared" si="2"/>
        <v>1</v>
      </c>
      <c r="U8" s="14">
        <f t="shared" si="3"/>
        <v>0.5</v>
      </c>
    </row>
    <row r="9" spans="1:21" x14ac:dyDescent="0.25">
      <c r="A9" s="1">
        <v>62330077</v>
      </c>
      <c r="B9" s="1">
        <v>201882</v>
      </c>
      <c r="C9" s="1" t="s">
        <v>1428</v>
      </c>
      <c r="D9" s="1" t="s">
        <v>447</v>
      </c>
      <c r="E9" s="1" t="s">
        <v>1429</v>
      </c>
      <c r="F9" s="1" t="s">
        <v>76</v>
      </c>
      <c r="G9" s="1" t="s">
        <v>200</v>
      </c>
      <c r="H9" s="1" t="s">
        <v>19</v>
      </c>
      <c r="I9" s="1" t="s">
        <v>201</v>
      </c>
      <c r="J9" s="1" t="s">
        <v>202</v>
      </c>
      <c r="K9" s="1" t="str">
        <f>VLOOKUP(J9,'IU Major Match'!$D$2:$E$65,2,FALSE)</f>
        <v>Major Dont exists in IU</v>
      </c>
      <c r="L9" s="1">
        <v>96171749937</v>
      </c>
      <c r="M9" s="1" t="s">
        <v>90</v>
      </c>
      <c r="N9" s="1">
        <v>65</v>
      </c>
      <c r="O9" s="1">
        <v>48</v>
      </c>
      <c r="P9" s="1">
        <v>15</v>
      </c>
      <c r="Q9" s="1">
        <v>2</v>
      </c>
      <c r="R9" s="5">
        <f t="shared" si="0"/>
        <v>0.96923076923076923</v>
      </c>
      <c r="S9" s="13" t="str">
        <f t="shared" si="1"/>
        <v>&gt;50</v>
      </c>
      <c r="T9" s="14">
        <f t="shared" si="2"/>
        <v>1</v>
      </c>
      <c r="U9" s="14">
        <f t="shared" si="3"/>
        <v>0.5</v>
      </c>
    </row>
    <row r="10" spans="1:21" x14ac:dyDescent="0.25">
      <c r="A10" s="1">
        <v>62130243</v>
      </c>
      <c r="B10" s="1">
        <v>220311</v>
      </c>
      <c r="C10" s="1" t="s">
        <v>233</v>
      </c>
      <c r="D10" s="1" t="s">
        <v>617</v>
      </c>
      <c r="E10" s="1" t="s">
        <v>955</v>
      </c>
      <c r="F10" s="1" t="s">
        <v>76</v>
      </c>
      <c r="G10" s="1" t="s">
        <v>18</v>
      </c>
      <c r="H10" s="1" t="s">
        <v>1414</v>
      </c>
      <c r="I10" s="1" t="s">
        <v>1419</v>
      </c>
      <c r="J10" s="1" t="s">
        <v>1420</v>
      </c>
      <c r="K10" s="1" t="e">
        <f>VLOOKUP(J10,'IU Major Match'!$D$2:$E$65,2,FALSE)</f>
        <v>#N/A</v>
      </c>
      <c r="L10" s="1">
        <v>71649521</v>
      </c>
      <c r="M10" s="1" t="s">
        <v>99</v>
      </c>
      <c r="N10" s="1">
        <v>52</v>
      </c>
      <c r="O10" s="1">
        <v>13</v>
      </c>
      <c r="P10" s="1">
        <v>13</v>
      </c>
      <c r="Q10" s="1">
        <v>26</v>
      </c>
      <c r="R10" s="5">
        <f t="shared" si="0"/>
        <v>0.5</v>
      </c>
      <c r="S10" s="13" t="str">
        <f t="shared" si="1"/>
        <v>=&lt;50</v>
      </c>
      <c r="T10" s="14">
        <f t="shared" si="2"/>
        <v>2</v>
      </c>
      <c r="U10" s="14">
        <f t="shared" si="3"/>
        <v>1</v>
      </c>
    </row>
    <row r="11" spans="1:21" x14ac:dyDescent="0.25">
      <c r="A11" s="1">
        <v>62130170</v>
      </c>
      <c r="B11" s="1">
        <v>212082</v>
      </c>
      <c r="C11" s="1" t="s">
        <v>131</v>
      </c>
      <c r="D11" s="1" t="s">
        <v>312</v>
      </c>
      <c r="E11" s="1" t="s">
        <v>399</v>
      </c>
      <c r="F11" s="1" t="s">
        <v>76</v>
      </c>
      <c r="G11" s="1" t="s">
        <v>18</v>
      </c>
      <c r="H11" s="1" t="s">
        <v>1414</v>
      </c>
      <c r="I11" s="1" t="s">
        <v>1421</v>
      </c>
      <c r="J11" s="1" t="s">
        <v>1422</v>
      </c>
      <c r="K11" s="1" t="e">
        <f>VLOOKUP(J11,'IU Major Match'!$D$2:$E$65,2,FALSE)</f>
        <v>#N/A</v>
      </c>
      <c r="L11" s="1">
        <v>81233497</v>
      </c>
      <c r="M11" s="1" t="s">
        <v>113</v>
      </c>
      <c r="N11" s="1">
        <v>52</v>
      </c>
      <c r="O11" s="1">
        <v>40</v>
      </c>
      <c r="P11" s="1">
        <v>12</v>
      </c>
      <c r="Q11" s="1">
        <v>0</v>
      </c>
      <c r="R11" s="5">
        <f t="shared" si="0"/>
        <v>1</v>
      </c>
      <c r="S11" s="13" t="str">
        <f t="shared" si="1"/>
        <v>&gt;50</v>
      </c>
      <c r="T11" s="14">
        <f t="shared" si="2"/>
        <v>0</v>
      </c>
      <c r="U11" s="14">
        <f t="shared" si="3"/>
        <v>0</v>
      </c>
    </row>
    <row r="12" spans="1:21" x14ac:dyDescent="0.25">
      <c r="A12" s="1">
        <v>61710023</v>
      </c>
      <c r="B12" s="1">
        <v>111694</v>
      </c>
      <c r="C12" s="1" t="s">
        <v>1430</v>
      </c>
      <c r="D12" s="1" t="s">
        <v>261</v>
      </c>
      <c r="E12" s="1" t="s">
        <v>1027</v>
      </c>
      <c r="F12" s="1" t="s">
        <v>76</v>
      </c>
      <c r="G12" s="1" t="s">
        <v>23</v>
      </c>
      <c r="H12" s="1" t="s">
        <v>19</v>
      </c>
      <c r="I12" s="1" t="s">
        <v>761</v>
      </c>
      <c r="J12" s="1" t="s">
        <v>762</v>
      </c>
      <c r="K12" s="1" t="str">
        <f>VLOOKUP(J12,'IU Major Match'!$D$2:$E$65,2,FALSE)</f>
        <v>Major Dont exists in IU</v>
      </c>
      <c r="L12" s="1">
        <v>96171157252</v>
      </c>
      <c r="M12" s="1" t="s">
        <v>20</v>
      </c>
      <c r="N12" s="1">
        <v>99</v>
      </c>
      <c r="O12" s="1">
        <v>38</v>
      </c>
      <c r="P12" s="1">
        <v>11</v>
      </c>
      <c r="Q12" s="1">
        <v>50</v>
      </c>
      <c r="R12" s="5">
        <f t="shared" si="0"/>
        <v>0.49494949494949497</v>
      </c>
      <c r="S12" s="13" t="str">
        <f t="shared" si="1"/>
        <v>=&lt;50</v>
      </c>
      <c r="T12" s="14">
        <f t="shared" si="2"/>
        <v>4</v>
      </c>
      <c r="U12" s="14">
        <f t="shared" si="3"/>
        <v>2</v>
      </c>
    </row>
    <row r="13" spans="1:21" x14ac:dyDescent="0.25">
      <c r="A13" s="1">
        <v>62030312</v>
      </c>
      <c r="B13" s="1">
        <v>219641</v>
      </c>
      <c r="C13" s="1" t="s">
        <v>1431</v>
      </c>
      <c r="D13" s="1" t="s">
        <v>383</v>
      </c>
      <c r="E13" s="1" t="s">
        <v>236</v>
      </c>
      <c r="F13" s="1" t="s">
        <v>76</v>
      </c>
      <c r="G13" s="1" t="s">
        <v>18</v>
      </c>
      <c r="H13" s="1" t="s">
        <v>1414</v>
      </c>
      <c r="I13" s="1" t="s">
        <v>1419</v>
      </c>
      <c r="J13" s="1" t="s">
        <v>1420</v>
      </c>
      <c r="K13" s="1" t="e">
        <f>VLOOKUP(J13,'IU Major Match'!$D$2:$E$65,2,FALSE)</f>
        <v>#N/A</v>
      </c>
      <c r="L13" s="1">
        <v>96170723876</v>
      </c>
      <c r="M13" s="1" t="s">
        <v>99</v>
      </c>
      <c r="N13" s="1">
        <v>52</v>
      </c>
      <c r="O13" s="1">
        <v>13</v>
      </c>
      <c r="P13" s="1">
        <v>13</v>
      </c>
      <c r="Q13" s="1">
        <v>26</v>
      </c>
      <c r="R13" s="5">
        <f t="shared" si="0"/>
        <v>0.5</v>
      </c>
      <c r="S13" s="13" t="str">
        <f t="shared" si="1"/>
        <v>=&lt;50</v>
      </c>
      <c r="T13" s="14">
        <f t="shared" si="2"/>
        <v>2</v>
      </c>
      <c r="U13" s="14">
        <f t="shared" si="3"/>
        <v>1</v>
      </c>
    </row>
    <row r="14" spans="1:21" x14ac:dyDescent="0.25">
      <c r="A14" s="1">
        <v>62110106</v>
      </c>
      <c r="B14" s="1">
        <v>166015</v>
      </c>
      <c r="C14" s="1" t="s">
        <v>1432</v>
      </c>
      <c r="D14" s="1" t="s">
        <v>1433</v>
      </c>
      <c r="E14" s="1" t="s">
        <v>369</v>
      </c>
      <c r="F14" s="1" t="s">
        <v>76</v>
      </c>
      <c r="G14" s="1" t="s">
        <v>18</v>
      </c>
      <c r="H14" s="1" t="s">
        <v>19</v>
      </c>
      <c r="I14" s="1" t="s">
        <v>302</v>
      </c>
      <c r="J14" s="1" t="s">
        <v>303</v>
      </c>
      <c r="K14" s="1" t="str">
        <f>VLOOKUP(J14,'IU Major Match'!$D$2:$E$65,2,FALSE)</f>
        <v>Can be Transferred to Bachelor of Engineering</v>
      </c>
      <c r="L14" s="1">
        <v>96171593087</v>
      </c>
      <c r="M14" s="1" t="s">
        <v>162</v>
      </c>
      <c r="N14" s="1">
        <v>108</v>
      </c>
      <c r="O14" s="1">
        <v>98</v>
      </c>
      <c r="P14" s="1">
        <v>10</v>
      </c>
      <c r="Q14" s="1">
        <v>6</v>
      </c>
      <c r="R14" s="5">
        <f t="shared" si="0"/>
        <v>1</v>
      </c>
      <c r="S14" s="13" t="str">
        <f t="shared" si="1"/>
        <v>&gt;50</v>
      </c>
      <c r="T14" s="14">
        <f t="shared" si="2"/>
        <v>1</v>
      </c>
      <c r="U14" s="14">
        <f t="shared" si="3"/>
        <v>0.5</v>
      </c>
    </row>
    <row r="15" spans="1:21" x14ac:dyDescent="0.25">
      <c r="A15" s="1">
        <v>62010015</v>
      </c>
      <c r="B15" s="1">
        <v>224521</v>
      </c>
      <c r="C15" s="1" t="s">
        <v>275</v>
      </c>
      <c r="D15" s="1" t="s">
        <v>1333</v>
      </c>
      <c r="E15" s="1" t="s">
        <v>1434</v>
      </c>
      <c r="F15" s="1" t="s">
        <v>76</v>
      </c>
      <c r="G15" s="1" t="s">
        <v>18</v>
      </c>
      <c r="H15" s="1" t="s">
        <v>1414</v>
      </c>
      <c r="I15" s="1" t="s">
        <v>1419</v>
      </c>
      <c r="J15" s="1" t="s">
        <v>1420</v>
      </c>
      <c r="K15" s="1" t="e">
        <f>VLOOKUP(J15,'IU Major Match'!$D$2:$E$65,2,FALSE)</f>
        <v>#N/A</v>
      </c>
      <c r="L15" s="1">
        <v>96178906142</v>
      </c>
      <c r="M15" s="1" t="s">
        <v>99</v>
      </c>
      <c r="N15" s="1">
        <v>52</v>
      </c>
      <c r="O15" s="1">
        <v>12</v>
      </c>
      <c r="P15" s="1">
        <v>14</v>
      </c>
      <c r="Q15" s="1">
        <v>26</v>
      </c>
      <c r="R15" s="5">
        <f t="shared" si="0"/>
        <v>0.5</v>
      </c>
      <c r="S15" s="13" t="str">
        <f t="shared" si="1"/>
        <v>=&lt;50</v>
      </c>
      <c r="T15" s="14">
        <f t="shared" si="2"/>
        <v>2</v>
      </c>
      <c r="U15" s="14">
        <f t="shared" si="3"/>
        <v>1</v>
      </c>
    </row>
    <row r="16" spans="1:21" x14ac:dyDescent="0.25">
      <c r="A16" s="1">
        <v>61930414</v>
      </c>
      <c r="B16" s="1">
        <v>147984</v>
      </c>
      <c r="C16" s="1" t="s">
        <v>59</v>
      </c>
      <c r="D16" s="1" t="s">
        <v>261</v>
      </c>
      <c r="E16" s="1" t="s">
        <v>283</v>
      </c>
      <c r="F16" s="1" t="s">
        <v>76</v>
      </c>
      <c r="G16" s="1" t="s">
        <v>18</v>
      </c>
      <c r="H16" s="1" t="s">
        <v>19</v>
      </c>
      <c r="I16" s="1" t="s">
        <v>302</v>
      </c>
      <c r="J16" s="1" t="s">
        <v>303</v>
      </c>
      <c r="K16" s="1" t="str">
        <f>VLOOKUP(J16,'IU Major Match'!$D$2:$E$65,2,FALSE)</f>
        <v>Can be Transferred to Bachelor of Engineering</v>
      </c>
      <c r="L16" s="1">
        <v>79305344</v>
      </c>
      <c r="M16" s="1" t="s">
        <v>205</v>
      </c>
      <c r="N16" s="1">
        <v>108</v>
      </c>
      <c r="O16" s="1">
        <v>62</v>
      </c>
      <c r="P16" s="1">
        <v>14</v>
      </c>
      <c r="Q16" s="1">
        <v>32</v>
      </c>
      <c r="R16" s="5">
        <f t="shared" si="0"/>
        <v>0.70370370370370372</v>
      </c>
      <c r="S16" s="13" t="str">
        <f t="shared" si="1"/>
        <v>&gt;50</v>
      </c>
      <c r="T16" s="14">
        <f t="shared" si="2"/>
        <v>3</v>
      </c>
      <c r="U16" s="14">
        <f t="shared" si="3"/>
        <v>1.5</v>
      </c>
    </row>
    <row r="17" spans="1:21" x14ac:dyDescent="0.25">
      <c r="A17" s="1">
        <v>62430162</v>
      </c>
      <c r="B17" s="1">
        <v>211519</v>
      </c>
      <c r="C17" s="1" t="s">
        <v>1435</v>
      </c>
      <c r="D17" s="1" t="s">
        <v>39</v>
      </c>
      <c r="E17" s="1" t="s">
        <v>701</v>
      </c>
      <c r="F17" s="1" t="s">
        <v>76</v>
      </c>
      <c r="G17" s="1" t="s">
        <v>23</v>
      </c>
      <c r="H17" s="1" t="s">
        <v>19</v>
      </c>
      <c r="I17" s="1" t="s">
        <v>237</v>
      </c>
      <c r="J17" s="1" t="s">
        <v>238</v>
      </c>
      <c r="K17" s="1" t="str">
        <f>VLOOKUP(J17,'IU Major Match'!$D$2:$E$65,2,FALSE)</f>
        <v xml:space="preserve">Major exists in IU </v>
      </c>
      <c r="L17" s="1">
        <v>96176793058</v>
      </c>
      <c r="M17" s="1" t="s">
        <v>113</v>
      </c>
      <c r="N17" s="1">
        <v>108</v>
      </c>
      <c r="O17" s="1">
        <v>12</v>
      </c>
      <c r="P17" s="1">
        <v>18</v>
      </c>
      <c r="Q17" s="1">
        <v>78</v>
      </c>
      <c r="R17" s="5">
        <f t="shared" si="0"/>
        <v>0.27777777777777779</v>
      </c>
      <c r="S17" s="13" t="str">
        <f t="shared" si="1"/>
        <v>=&lt;50</v>
      </c>
      <c r="T17" s="14">
        <f t="shared" si="2"/>
        <v>6</v>
      </c>
      <c r="U17" s="14">
        <f t="shared" si="3"/>
        <v>3</v>
      </c>
    </row>
    <row r="18" spans="1:21" x14ac:dyDescent="0.25">
      <c r="A18" s="1">
        <v>62230309</v>
      </c>
      <c r="B18" s="1">
        <v>191044</v>
      </c>
      <c r="C18" s="1" t="s">
        <v>324</v>
      </c>
      <c r="D18" s="1" t="s">
        <v>21</v>
      </c>
      <c r="E18" s="1" t="s">
        <v>290</v>
      </c>
      <c r="F18" s="1" t="s">
        <v>76</v>
      </c>
      <c r="G18" s="1" t="s">
        <v>23</v>
      </c>
      <c r="H18" s="1" t="s">
        <v>19</v>
      </c>
      <c r="I18" s="1" t="s">
        <v>103</v>
      </c>
      <c r="J18" s="1" t="s">
        <v>104</v>
      </c>
      <c r="K18" s="1" t="str">
        <f>VLOOKUP(J18,'IU Major Match'!$D$2:$E$65,2,FALSE)</f>
        <v xml:space="preserve">Major exists in IU </v>
      </c>
      <c r="L18" s="1">
        <v>96171407676</v>
      </c>
      <c r="M18" s="1" t="s">
        <v>153</v>
      </c>
      <c r="N18" s="1">
        <v>100</v>
      </c>
      <c r="O18" s="1">
        <v>85</v>
      </c>
      <c r="P18" s="1">
        <v>15</v>
      </c>
      <c r="Q18" s="1">
        <v>0</v>
      </c>
      <c r="R18" s="5">
        <f t="shared" si="0"/>
        <v>1</v>
      </c>
      <c r="S18" s="13" t="str">
        <f t="shared" si="1"/>
        <v>&gt;50</v>
      </c>
      <c r="T18" s="14">
        <f t="shared" si="2"/>
        <v>0</v>
      </c>
      <c r="U18" s="14">
        <f t="shared" si="3"/>
        <v>0</v>
      </c>
    </row>
    <row r="19" spans="1:21" x14ac:dyDescent="0.25">
      <c r="A19" s="1">
        <v>62430325</v>
      </c>
      <c r="B19" s="1">
        <v>216892</v>
      </c>
      <c r="C19" s="1" t="s">
        <v>342</v>
      </c>
      <c r="D19" s="1" t="s">
        <v>1436</v>
      </c>
      <c r="E19" s="1" t="s">
        <v>1437</v>
      </c>
      <c r="F19" s="1" t="s">
        <v>76</v>
      </c>
      <c r="G19" s="1" t="s">
        <v>23</v>
      </c>
      <c r="H19" s="1" t="s">
        <v>19</v>
      </c>
      <c r="I19" s="1" t="s">
        <v>151</v>
      </c>
      <c r="J19" s="1" t="s">
        <v>152</v>
      </c>
      <c r="K19" s="1" t="str">
        <f>VLOOKUP(J19,'IU Major Match'!$D$2:$E$65,2,FALSE)</f>
        <v>Major Dont exists in IU</v>
      </c>
      <c r="L19" s="1">
        <v>96176886266</v>
      </c>
      <c r="M19" s="1" t="s">
        <v>113</v>
      </c>
      <c r="N19" s="1">
        <v>105</v>
      </c>
      <c r="O19" s="1">
        <v>43</v>
      </c>
      <c r="P19" s="1">
        <v>13</v>
      </c>
      <c r="Q19" s="1">
        <v>49</v>
      </c>
      <c r="R19" s="5">
        <f t="shared" si="0"/>
        <v>0.53333333333333333</v>
      </c>
      <c r="S19" s="13" t="str">
        <f t="shared" si="1"/>
        <v>&gt;50</v>
      </c>
      <c r="T19" s="14">
        <f t="shared" si="2"/>
        <v>4</v>
      </c>
      <c r="U19" s="14">
        <f t="shared" si="3"/>
        <v>2</v>
      </c>
    </row>
    <row r="20" spans="1:21" x14ac:dyDescent="0.25">
      <c r="A20" s="1">
        <v>62110037</v>
      </c>
      <c r="B20" s="1">
        <v>218328</v>
      </c>
      <c r="C20" s="1" t="s">
        <v>342</v>
      </c>
      <c r="D20" s="1" t="s">
        <v>1438</v>
      </c>
      <c r="E20" s="1" t="s">
        <v>1439</v>
      </c>
      <c r="F20" s="1" t="s">
        <v>76</v>
      </c>
      <c r="G20" s="1" t="s">
        <v>18</v>
      </c>
      <c r="H20" s="1" t="s">
        <v>1414</v>
      </c>
      <c r="I20" s="1" t="s">
        <v>1419</v>
      </c>
      <c r="J20" s="1" t="s">
        <v>1420</v>
      </c>
      <c r="K20" s="1" t="e">
        <f>VLOOKUP(J20,'IU Major Match'!$D$2:$E$65,2,FALSE)</f>
        <v>#N/A</v>
      </c>
      <c r="L20" s="1">
        <v>96171345224</v>
      </c>
      <c r="M20" s="1" t="s">
        <v>242</v>
      </c>
      <c r="N20" s="1">
        <v>52</v>
      </c>
      <c r="O20" s="1">
        <v>13</v>
      </c>
      <c r="P20" s="1">
        <v>13</v>
      </c>
      <c r="Q20" s="1">
        <v>26</v>
      </c>
      <c r="R20" s="5">
        <f t="shared" si="0"/>
        <v>0.5</v>
      </c>
      <c r="S20" s="13" t="str">
        <f t="shared" si="1"/>
        <v>=&lt;50</v>
      </c>
      <c r="T20" s="14">
        <f t="shared" si="2"/>
        <v>2</v>
      </c>
      <c r="U20" s="14">
        <f t="shared" si="3"/>
        <v>1</v>
      </c>
    </row>
    <row r="21" spans="1:21" x14ac:dyDescent="0.25">
      <c r="A21" s="1">
        <v>62230008</v>
      </c>
      <c r="B21" s="1">
        <v>223397</v>
      </c>
      <c r="C21" s="1" t="s">
        <v>1440</v>
      </c>
      <c r="D21" s="1" t="s">
        <v>38</v>
      </c>
      <c r="E21" s="1" t="s">
        <v>1441</v>
      </c>
      <c r="F21" s="1" t="s">
        <v>76</v>
      </c>
      <c r="G21" s="1" t="s">
        <v>18</v>
      </c>
      <c r="H21" s="1" t="s">
        <v>1414</v>
      </c>
      <c r="I21" s="1" t="s">
        <v>1415</v>
      </c>
      <c r="J21" s="1" t="s">
        <v>1416</v>
      </c>
      <c r="K21" s="1" t="e">
        <f>VLOOKUP(J21,'IU Major Match'!$D$2:$E$65,2,FALSE)</f>
        <v>#N/A</v>
      </c>
      <c r="L21" s="1">
        <v>81395469</v>
      </c>
      <c r="M21" s="1" t="s">
        <v>99</v>
      </c>
      <c r="N21" s="1">
        <v>52</v>
      </c>
      <c r="O21" s="1">
        <v>13</v>
      </c>
      <c r="P21" s="1">
        <v>13</v>
      </c>
      <c r="Q21" s="1">
        <v>26</v>
      </c>
      <c r="R21" s="5">
        <f t="shared" si="0"/>
        <v>0.5</v>
      </c>
      <c r="S21" s="13" t="str">
        <f t="shared" si="1"/>
        <v>=&lt;50</v>
      </c>
      <c r="T21" s="14">
        <f t="shared" si="2"/>
        <v>2</v>
      </c>
      <c r="U21" s="14">
        <f t="shared" si="3"/>
        <v>1</v>
      </c>
    </row>
    <row r="22" spans="1:21" x14ac:dyDescent="0.25">
      <c r="A22" s="1">
        <v>61930432</v>
      </c>
      <c r="B22" s="1">
        <v>216509</v>
      </c>
      <c r="C22" s="1" t="s">
        <v>1442</v>
      </c>
      <c r="D22" s="1" t="s">
        <v>390</v>
      </c>
      <c r="E22" s="1" t="s">
        <v>1443</v>
      </c>
      <c r="F22" s="1" t="s">
        <v>76</v>
      </c>
      <c r="G22" s="1" t="s">
        <v>18</v>
      </c>
      <c r="H22" s="1" t="s">
        <v>1414</v>
      </c>
      <c r="I22" s="1" t="s">
        <v>1444</v>
      </c>
      <c r="J22" s="1" t="s">
        <v>1445</v>
      </c>
      <c r="K22" s="1" t="e">
        <f>VLOOKUP(J22,'IU Major Match'!$D$2:$E$65,2,FALSE)</f>
        <v>#N/A</v>
      </c>
      <c r="L22" s="1">
        <v>96170673136</v>
      </c>
      <c r="M22" s="1" t="s">
        <v>113</v>
      </c>
      <c r="N22" s="1">
        <v>52</v>
      </c>
      <c r="O22" s="1">
        <v>40</v>
      </c>
      <c r="P22" s="1">
        <v>12</v>
      </c>
      <c r="Q22" s="1">
        <v>0</v>
      </c>
      <c r="R22" s="5">
        <f t="shared" si="0"/>
        <v>1</v>
      </c>
      <c r="S22" s="13" t="str">
        <f t="shared" si="1"/>
        <v>&gt;50</v>
      </c>
      <c r="T22" s="14">
        <f t="shared" si="2"/>
        <v>0</v>
      </c>
      <c r="U22" s="14">
        <f t="shared" si="3"/>
        <v>0</v>
      </c>
    </row>
    <row r="23" spans="1:21" x14ac:dyDescent="0.25">
      <c r="A23" s="1">
        <v>62230228</v>
      </c>
      <c r="B23" s="1">
        <v>189116</v>
      </c>
      <c r="C23" s="1" t="s">
        <v>358</v>
      </c>
      <c r="D23" s="1" t="s">
        <v>421</v>
      </c>
      <c r="E23" s="1" t="s">
        <v>1446</v>
      </c>
      <c r="F23" s="1" t="s">
        <v>76</v>
      </c>
      <c r="G23" s="1" t="s">
        <v>93</v>
      </c>
      <c r="H23" s="1" t="s">
        <v>19</v>
      </c>
      <c r="I23" s="1" t="s">
        <v>94</v>
      </c>
      <c r="J23" s="1" t="s">
        <v>95</v>
      </c>
      <c r="K23" s="1" t="str">
        <f>VLOOKUP(J23,'IU Major Match'!$D$2:$E$65,2,FALSE)</f>
        <v xml:space="preserve">Major exists in IU </v>
      </c>
      <c r="L23" s="1">
        <v>76137660</v>
      </c>
      <c r="M23" s="1" t="s">
        <v>153</v>
      </c>
      <c r="N23" s="1">
        <v>99</v>
      </c>
      <c r="O23" s="1">
        <v>69</v>
      </c>
      <c r="P23" s="1">
        <v>18</v>
      </c>
      <c r="Q23" s="1">
        <v>12</v>
      </c>
      <c r="R23" s="5">
        <f t="shared" si="0"/>
        <v>0.87878787878787878</v>
      </c>
      <c r="S23" s="13" t="str">
        <f t="shared" si="1"/>
        <v>&gt;50</v>
      </c>
      <c r="T23" s="14">
        <f t="shared" si="2"/>
        <v>1</v>
      </c>
      <c r="U23" s="14">
        <f t="shared" si="3"/>
        <v>0.5</v>
      </c>
    </row>
    <row r="24" spans="1:21" x14ac:dyDescent="0.25">
      <c r="A24" s="1">
        <v>61820012</v>
      </c>
      <c r="B24" s="1">
        <v>179504</v>
      </c>
      <c r="C24" s="1" t="s">
        <v>145</v>
      </c>
      <c r="D24" s="1" t="s">
        <v>129</v>
      </c>
      <c r="E24" s="1" t="s">
        <v>1447</v>
      </c>
      <c r="F24" s="1" t="s">
        <v>76</v>
      </c>
      <c r="G24" s="1" t="s">
        <v>18</v>
      </c>
      <c r="H24" s="1" t="s">
        <v>1414</v>
      </c>
      <c r="I24" s="1" t="s">
        <v>1419</v>
      </c>
      <c r="J24" s="1" t="s">
        <v>1420</v>
      </c>
      <c r="K24" s="1" t="e">
        <f>VLOOKUP(J24,'IU Major Match'!$D$2:$E$65,2,FALSE)</f>
        <v>#N/A</v>
      </c>
      <c r="L24" s="1">
        <v>76164225</v>
      </c>
      <c r="M24" s="1" t="s">
        <v>79</v>
      </c>
      <c r="N24" s="1">
        <v>52</v>
      </c>
      <c r="O24" s="1">
        <v>23</v>
      </c>
      <c r="P24" s="1">
        <v>6</v>
      </c>
      <c r="Q24" s="1">
        <v>23</v>
      </c>
      <c r="R24" s="5">
        <f t="shared" si="0"/>
        <v>0.55769230769230771</v>
      </c>
      <c r="S24" s="13" t="str">
        <f t="shared" si="1"/>
        <v>&gt;50</v>
      </c>
      <c r="T24" s="14">
        <f t="shared" si="2"/>
        <v>2</v>
      </c>
      <c r="U24" s="14">
        <f t="shared" si="3"/>
        <v>1</v>
      </c>
    </row>
    <row r="25" spans="1:21" x14ac:dyDescent="0.25">
      <c r="A25" s="1">
        <v>62130256</v>
      </c>
      <c r="B25" s="1">
        <v>218559</v>
      </c>
      <c r="C25" s="1" t="s">
        <v>145</v>
      </c>
      <c r="D25" s="1" t="s">
        <v>617</v>
      </c>
      <c r="E25" s="1" t="s">
        <v>1448</v>
      </c>
      <c r="F25" s="1" t="s">
        <v>76</v>
      </c>
      <c r="G25" s="1" t="s">
        <v>18</v>
      </c>
      <c r="H25" s="1" t="s">
        <v>1414</v>
      </c>
      <c r="I25" s="1" t="s">
        <v>1415</v>
      </c>
      <c r="J25" s="1" t="s">
        <v>1416</v>
      </c>
      <c r="K25" s="1" t="e">
        <f>VLOOKUP(J25,'IU Major Match'!$D$2:$E$65,2,FALSE)</f>
        <v>#N/A</v>
      </c>
      <c r="L25" s="1">
        <v>96170658611</v>
      </c>
      <c r="M25" s="1" t="s">
        <v>242</v>
      </c>
      <c r="N25" s="1">
        <v>52</v>
      </c>
      <c r="O25" s="1">
        <v>16</v>
      </c>
      <c r="P25" s="1">
        <v>13</v>
      </c>
      <c r="Q25" s="1">
        <v>23</v>
      </c>
      <c r="R25" s="5">
        <f t="shared" si="0"/>
        <v>0.55769230769230771</v>
      </c>
      <c r="S25" s="13" t="str">
        <f t="shared" si="1"/>
        <v>&gt;50</v>
      </c>
      <c r="T25" s="14">
        <f t="shared" si="2"/>
        <v>2</v>
      </c>
      <c r="U25" s="14">
        <f t="shared" si="3"/>
        <v>1</v>
      </c>
    </row>
    <row r="26" spans="1:21" x14ac:dyDescent="0.25">
      <c r="A26" s="1">
        <v>62330325</v>
      </c>
      <c r="B26" s="1">
        <v>206303</v>
      </c>
      <c r="C26" s="1" t="s">
        <v>145</v>
      </c>
      <c r="D26" s="1" t="s">
        <v>231</v>
      </c>
      <c r="E26" s="1" t="s">
        <v>286</v>
      </c>
      <c r="F26" s="1" t="s">
        <v>76</v>
      </c>
      <c r="G26" s="1" t="s">
        <v>18</v>
      </c>
      <c r="H26" s="1" t="s">
        <v>19</v>
      </c>
      <c r="I26" s="1" t="s">
        <v>302</v>
      </c>
      <c r="J26" s="1" t="s">
        <v>303</v>
      </c>
      <c r="K26" s="1" t="str">
        <f>VLOOKUP(J26,'IU Major Match'!$D$2:$E$65,2,FALSE)</f>
        <v>Can be Transferred to Bachelor of Engineering</v>
      </c>
      <c r="L26" s="1">
        <v>81497087</v>
      </c>
      <c r="M26" s="1" t="s">
        <v>90</v>
      </c>
      <c r="N26" s="1">
        <v>108</v>
      </c>
      <c r="O26" s="1">
        <v>84</v>
      </c>
      <c r="P26" s="1">
        <v>18</v>
      </c>
      <c r="Q26" s="1">
        <v>6</v>
      </c>
      <c r="R26" s="5">
        <f t="shared" si="0"/>
        <v>0.94444444444444442</v>
      </c>
      <c r="S26" s="13" t="str">
        <f t="shared" si="1"/>
        <v>&gt;50</v>
      </c>
      <c r="T26" s="14">
        <f t="shared" si="2"/>
        <v>1</v>
      </c>
      <c r="U26" s="14">
        <f t="shared" si="3"/>
        <v>0.5</v>
      </c>
    </row>
    <row r="27" spans="1:21" x14ac:dyDescent="0.25">
      <c r="A27" s="1">
        <v>61710069</v>
      </c>
      <c r="B27" s="1">
        <v>112552</v>
      </c>
      <c r="C27" s="1" t="s">
        <v>145</v>
      </c>
      <c r="D27" s="1" t="s">
        <v>1058</v>
      </c>
      <c r="E27" s="1" t="s">
        <v>1449</v>
      </c>
      <c r="F27" s="1" t="s">
        <v>76</v>
      </c>
      <c r="G27" s="1" t="s">
        <v>18</v>
      </c>
      <c r="H27" s="1" t="s">
        <v>19</v>
      </c>
      <c r="I27" s="1" t="s">
        <v>164</v>
      </c>
      <c r="J27" s="1" t="s">
        <v>165</v>
      </c>
      <c r="K27" s="1" t="str">
        <f>VLOOKUP(J27,'IU Major Match'!$D$2:$E$65,2,FALSE)</f>
        <v>Can be Transferred to Bachelor of Engineering</v>
      </c>
      <c r="L27" s="1">
        <v>81263622</v>
      </c>
      <c r="M27" s="1" t="s">
        <v>20</v>
      </c>
      <c r="N27" s="1">
        <v>108</v>
      </c>
      <c r="O27" s="1">
        <v>101</v>
      </c>
      <c r="P27" s="1">
        <v>10</v>
      </c>
      <c r="Q27" s="1">
        <v>0</v>
      </c>
      <c r="R27" s="5">
        <f t="shared" si="0"/>
        <v>1.0277777777777777</v>
      </c>
      <c r="S27" s="13" t="str">
        <f t="shared" si="1"/>
        <v>&gt;50</v>
      </c>
      <c r="T27" s="14">
        <f t="shared" si="2"/>
        <v>0</v>
      </c>
      <c r="U27" s="14">
        <f t="shared" si="3"/>
        <v>0</v>
      </c>
    </row>
    <row r="28" spans="1:21" x14ac:dyDescent="0.25">
      <c r="A28" s="1">
        <v>62430146</v>
      </c>
      <c r="B28" s="1">
        <v>211505</v>
      </c>
      <c r="C28" s="1" t="s">
        <v>145</v>
      </c>
      <c r="D28" s="1" t="s">
        <v>494</v>
      </c>
      <c r="E28" s="1" t="s">
        <v>898</v>
      </c>
      <c r="F28" s="1" t="s">
        <v>76</v>
      </c>
      <c r="G28" s="1" t="s">
        <v>18</v>
      </c>
      <c r="H28" s="1" t="s">
        <v>19</v>
      </c>
      <c r="I28" s="1" t="s">
        <v>739</v>
      </c>
      <c r="J28" s="1" t="s">
        <v>740</v>
      </c>
      <c r="K28" s="1" t="str">
        <f>VLOOKUP(J28,'IU Major Match'!$D$2:$E$65,2,FALSE)</f>
        <v>Can be Transferred to Bachelor of Engineering</v>
      </c>
      <c r="L28" s="1">
        <v>76137828</v>
      </c>
      <c r="M28" s="1" t="s">
        <v>113</v>
      </c>
      <c r="N28" s="1">
        <v>108</v>
      </c>
      <c r="O28" s="1">
        <v>45</v>
      </c>
      <c r="P28" s="1">
        <v>10</v>
      </c>
      <c r="Q28" s="1">
        <v>53</v>
      </c>
      <c r="R28" s="5">
        <f t="shared" si="0"/>
        <v>0.5092592592592593</v>
      </c>
      <c r="S28" s="13" t="str">
        <f t="shared" si="1"/>
        <v>&gt;50</v>
      </c>
      <c r="T28" s="14">
        <f t="shared" si="2"/>
        <v>4</v>
      </c>
      <c r="U28" s="14">
        <f t="shared" si="3"/>
        <v>2</v>
      </c>
    </row>
    <row r="29" spans="1:21" x14ac:dyDescent="0.25">
      <c r="A29" s="1">
        <v>62130248</v>
      </c>
      <c r="B29" s="1">
        <v>171271</v>
      </c>
      <c r="C29" s="1" t="s">
        <v>145</v>
      </c>
      <c r="D29" s="1" t="s">
        <v>955</v>
      </c>
      <c r="E29" s="1" t="s">
        <v>955</v>
      </c>
      <c r="F29" s="1" t="s">
        <v>76</v>
      </c>
      <c r="G29" s="1" t="s">
        <v>18</v>
      </c>
      <c r="H29" s="1" t="s">
        <v>19</v>
      </c>
      <c r="I29" s="1" t="s">
        <v>302</v>
      </c>
      <c r="J29" s="1" t="s">
        <v>303</v>
      </c>
      <c r="K29" s="1" t="str">
        <f>VLOOKUP(J29,'IU Major Match'!$D$2:$E$65,2,FALSE)</f>
        <v>Can be Transferred to Bachelor of Engineering</v>
      </c>
      <c r="L29" s="1">
        <v>81466239</v>
      </c>
      <c r="M29" s="1" t="s">
        <v>79</v>
      </c>
      <c r="N29" s="1">
        <v>108</v>
      </c>
      <c r="O29" s="1">
        <v>104</v>
      </c>
      <c r="P29" s="1">
        <v>4</v>
      </c>
      <c r="Q29" s="1">
        <v>0</v>
      </c>
      <c r="R29" s="5">
        <f t="shared" si="0"/>
        <v>1</v>
      </c>
      <c r="S29" s="13" t="str">
        <f t="shared" si="1"/>
        <v>&gt;50</v>
      </c>
      <c r="T29" s="14">
        <f t="shared" si="2"/>
        <v>0</v>
      </c>
      <c r="U29" s="14">
        <f t="shared" si="3"/>
        <v>0</v>
      </c>
    </row>
    <row r="30" spans="1:21" x14ac:dyDescent="0.25">
      <c r="A30" s="1">
        <v>62030282</v>
      </c>
      <c r="B30" s="1">
        <v>158129</v>
      </c>
      <c r="C30" s="1" t="s">
        <v>145</v>
      </c>
      <c r="D30" s="1" t="s">
        <v>1450</v>
      </c>
      <c r="E30" s="1" t="s">
        <v>808</v>
      </c>
      <c r="F30" s="1" t="s">
        <v>76</v>
      </c>
      <c r="G30" s="1" t="s">
        <v>18</v>
      </c>
      <c r="H30" s="1" t="s">
        <v>19</v>
      </c>
      <c r="I30" s="1" t="s">
        <v>164</v>
      </c>
      <c r="J30" s="1" t="s">
        <v>165</v>
      </c>
      <c r="K30" s="1" t="str">
        <f>VLOOKUP(J30,'IU Major Match'!$D$2:$E$65,2,FALSE)</f>
        <v>Can be Transferred to Bachelor of Engineering</v>
      </c>
      <c r="L30" s="1">
        <v>76536268</v>
      </c>
      <c r="M30" s="1" t="s">
        <v>51</v>
      </c>
      <c r="N30" s="1">
        <v>108</v>
      </c>
      <c r="O30" s="1">
        <v>79</v>
      </c>
      <c r="P30" s="1">
        <v>10</v>
      </c>
      <c r="Q30" s="1">
        <v>19</v>
      </c>
      <c r="R30" s="5">
        <f t="shared" si="0"/>
        <v>0.82407407407407407</v>
      </c>
      <c r="S30" s="13" t="str">
        <f t="shared" si="1"/>
        <v>&gt;50</v>
      </c>
      <c r="T30" s="14">
        <f t="shared" si="2"/>
        <v>2</v>
      </c>
      <c r="U30" s="14">
        <f t="shared" si="3"/>
        <v>1</v>
      </c>
    </row>
    <row r="31" spans="1:21" x14ac:dyDescent="0.25">
      <c r="A31" s="1">
        <v>62330011</v>
      </c>
      <c r="B31" s="1">
        <v>198767</v>
      </c>
      <c r="C31" s="1" t="s">
        <v>145</v>
      </c>
      <c r="D31" s="1" t="s">
        <v>554</v>
      </c>
      <c r="E31" s="1" t="s">
        <v>796</v>
      </c>
      <c r="F31" s="1" t="s">
        <v>76</v>
      </c>
      <c r="G31" s="1" t="s">
        <v>18</v>
      </c>
      <c r="H31" s="1" t="s">
        <v>19</v>
      </c>
      <c r="I31" s="1" t="s">
        <v>302</v>
      </c>
      <c r="J31" s="1" t="s">
        <v>303</v>
      </c>
      <c r="K31" s="1" t="str">
        <f>VLOOKUP(J31,'IU Major Match'!$D$2:$E$65,2,FALSE)</f>
        <v>Can be Transferred to Bachelor of Engineering</v>
      </c>
      <c r="L31" s="1">
        <v>96170918966</v>
      </c>
      <c r="M31" s="1" t="s">
        <v>90</v>
      </c>
      <c r="N31" s="1">
        <v>108</v>
      </c>
      <c r="O31" s="1">
        <v>50</v>
      </c>
      <c r="P31" s="1">
        <v>17</v>
      </c>
      <c r="Q31" s="1">
        <v>41</v>
      </c>
      <c r="R31" s="5">
        <f t="shared" si="0"/>
        <v>0.62037037037037035</v>
      </c>
      <c r="S31" s="13" t="str">
        <f t="shared" si="1"/>
        <v>&gt;50</v>
      </c>
      <c r="T31" s="14">
        <f t="shared" si="2"/>
        <v>3</v>
      </c>
      <c r="U31" s="14">
        <f t="shared" si="3"/>
        <v>1.5</v>
      </c>
    </row>
    <row r="32" spans="1:21" x14ac:dyDescent="0.25">
      <c r="A32" s="1">
        <v>62030175</v>
      </c>
      <c r="B32" s="1">
        <v>154886</v>
      </c>
      <c r="C32" s="1" t="s">
        <v>145</v>
      </c>
      <c r="D32" s="1" t="s">
        <v>513</v>
      </c>
      <c r="E32" s="1" t="s">
        <v>1451</v>
      </c>
      <c r="F32" s="1" t="s">
        <v>76</v>
      </c>
      <c r="G32" s="1" t="s">
        <v>93</v>
      </c>
      <c r="H32" s="1" t="s">
        <v>19</v>
      </c>
      <c r="I32" s="1" t="s">
        <v>168</v>
      </c>
      <c r="J32" s="1" t="s">
        <v>169</v>
      </c>
      <c r="K32" s="1" t="str">
        <f>VLOOKUP(J32,'IU Major Match'!$D$2:$E$65,2,FALSE)</f>
        <v>Major Dont exists in IU</v>
      </c>
      <c r="L32" s="1">
        <v>76190447</v>
      </c>
      <c r="M32" s="1" t="s">
        <v>51</v>
      </c>
      <c r="N32" s="1">
        <v>99</v>
      </c>
      <c r="O32" s="1">
        <v>93</v>
      </c>
      <c r="P32" s="1">
        <v>6</v>
      </c>
      <c r="Q32" s="1">
        <v>0</v>
      </c>
      <c r="R32" s="5">
        <f t="shared" si="0"/>
        <v>1</v>
      </c>
      <c r="S32" s="13" t="str">
        <f t="shared" si="1"/>
        <v>&gt;50</v>
      </c>
      <c r="T32" s="14">
        <f t="shared" si="2"/>
        <v>0</v>
      </c>
      <c r="U32" s="14">
        <f t="shared" si="3"/>
        <v>0</v>
      </c>
    </row>
    <row r="33" spans="1:21" x14ac:dyDescent="0.25">
      <c r="A33" s="1">
        <v>62330343</v>
      </c>
      <c r="B33" s="1">
        <v>206822</v>
      </c>
      <c r="C33" s="1" t="s">
        <v>405</v>
      </c>
      <c r="D33" s="1" t="s">
        <v>1333</v>
      </c>
      <c r="E33" s="1" t="s">
        <v>1452</v>
      </c>
      <c r="F33" s="1" t="s">
        <v>76</v>
      </c>
      <c r="G33" s="1" t="s">
        <v>68</v>
      </c>
      <c r="H33" s="1" t="s">
        <v>19</v>
      </c>
      <c r="I33" s="1" t="s">
        <v>1164</v>
      </c>
      <c r="J33" s="1" t="s">
        <v>1165</v>
      </c>
      <c r="K33" s="1" t="str">
        <f>VLOOKUP(J33,'IU Major Match'!$D$2:$E$65,2,FALSE)</f>
        <v xml:space="preserve">Major exists in IU </v>
      </c>
      <c r="L33" s="1">
        <v>96176905064</v>
      </c>
      <c r="M33" s="1" t="s">
        <v>90</v>
      </c>
      <c r="N33" s="1">
        <v>108</v>
      </c>
      <c r="O33" s="1">
        <v>54</v>
      </c>
      <c r="P33" s="1">
        <v>12</v>
      </c>
      <c r="Q33" s="1">
        <v>42</v>
      </c>
      <c r="R33" s="5">
        <f t="shared" si="0"/>
        <v>0.61111111111111116</v>
      </c>
      <c r="S33" s="13" t="str">
        <f t="shared" si="1"/>
        <v>&gt;50</v>
      </c>
      <c r="T33" s="14">
        <f t="shared" si="2"/>
        <v>3</v>
      </c>
      <c r="U33" s="14">
        <f t="shared" si="3"/>
        <v>1.5</v>
      </c>
    </row>
    <row r="34" spans="1:21" x14ac:dyDescent="0.25">
      <c r="A34" s="1">
        <v>62530033</v>
      </c>
      <c r="B34" s="1">
        <v>219374</v>
      </c>
      <c r="C34" s="1" t="s">
        <v>449</v>
      </c>
      <c r="D34" s="1" t="s">
        <v>509</v>
      </c>
      <c r="E34" s="1" t="s">
        <v>1453</v>
      </c>
      <c r="F34" s="1" t="s">
        <v>76</v>
      </c>
      <c r="G34" s="1" t="s">
        <v>93</v>
      </c>
      <c r="H34" s="1" t="s">
        <v>1414</v>
      </c>
      <c r="I34" s="1" t="s">
        <v>1454</v>
      </c>
      <c r="J34" s="1" t="s">
        <v>1455</v>
      </c>
      <c r="K34" s="1" t="e">
        <f>VLOOKUP(J34,'IU Major Match'!$D$2:$E$65,2,FALSE)</f>
        <v>#N/A</v>
      </c>
      <c r="L34" s="1">
        <v>96171463468</v>
      </c>
      <c r="M34" s="1" t="s">
        <v>99</v>
      </c>
      <c r="N34" s="1">
        <v>39</v>
      </c>
      <c r="O34" s="1">
        <v>0</v>
      </c>
      <c r="P34" s="1">
        <v>6</v>
      </c>
      <c r="Q34" s="1">
        <v>33</v>
      </c>
      <c r="R34" s="5">
        <f t="shared" si="0"/>
        <v>0.15384615384615385</v>
      </c>
      <c r="S34" s="13" t="str">
        <f t="shared" si="1"/>
        <v>=&lt;50</v>
      </c>
      <c r="T34" s="14">
        <f t="shared" si="2"/>
        <v>3</v>
      </c>
      <c r="U34" s="14">
        <f t="shared" si="3"/>
        <v>1.5</v>
      </c>
    </row>
    <row r="35" spans="1:21" x14ac:dyDescent="0.25">
      <c r="A35" s="1">
        <v>62410013</v>
      </c>
      <c r="B35" s="1">
        <v>207964</v>
      </c>
      <c r="C35" s="1" t="s">
        <v>1456</v>
      </c>
      <c r="D35" s="1" t="s">
        <v>513</v>
      </c>
      <c r="E35" s="1" t="s">
        <v>1457</v>
      </c>
      <c r="F35" s="1" t="s">
        <v>76</v>
      </c>
      <c r="G35" s="1" t="s">
        <v>18</v>
      </c>
      <c r="H35" s="1" t="s">
        <v>19</v>
      </c>
      <c r="I35" s="1" t="s">
        <v>302</v>
      </c>
      <c r="J35" s="1" t="s">
        <v>303</v>
      </c>
      <c r="K35" s="1" t="str">
        <f>VLOOKUP(J35,'IU Major Match'!$D$2:$E$65,2,FALSE)</f>
        <v>Can be Transferred to Bachelor of Engineering</v>
      </c>
      <c r="L35" s="1">
        <v>81235047</v>
      </c>
      <c r="M35" s="1" t="s">
        <v>362</v>
      </c>
      <c r="N35" s="1">
        <v>108</v>
      </c>
      <c r="O35" s="1">
        <v>59</v>
      </c>
      <c r="P35" s="1">
        <v>15</v>
      </c>
      <c r="Q35" s="1">
        <v>34</v>
      </c>
      <c r="R35" s="5">
        <f t="shared" si="0"/>
        <v>0.68518518518518523</v>
      </c>
      <c r="S35" s="13" t="str">
        <f t="shared" si="1"/>
        <v>&gt;50</v>
      </c>
      <c r="T35" s="14">
        <f t="shared" si="2"/>
        <v>3</v>
      </c>
      <c r="U35" s="14">
        <f t="shared" si="3"/>
        <v>1.5</v>
      </c>
    </row>
    <row r="36" spans="1:21" x14ac:dyDescent="0.25">
      <c r="A36" s="1">
        <v>62430166</v>
      </c>
      <c r="B36" s="1">
        <v>212178</v>
      </c>
      <c r="C36" s="1" t="s">
        <v>454</v>
      </c>
      <c r="D36" s="1" t="s">
        <v>1392</v>
      </c>
      <c r="E36" s="1" t="s">
        <v>1458</v>
      </c>
      <c r="F36" s="1" t="s">
        <v>76</v>
      </c>
      <c r="G36" s="1" t="s">
        <v>23</v>
      </c>
      <c r="H36" s="1" t="s">
        <v>19</v>
      </c>
      <c r="I36" s="1" t="s">
        <v>151</v>
      </c>
      <c r="J36" s="1" t="s">
        <v>152</v>
      </c>
      <c r="K36" s="1" t="str">
        <f>VLOOKUP(J36,'IU Major Match'!$D$2:$E$65,2,FALSE)</f>
        <v>Major Dont exists in IU</v>
      </c>
      <c r="L36" s="1">
        <v>96181836266</v>
      </c>
      <c r="M36" s="1" t="s">
        <v>113</v>
      </c>
      <c r="N36" s="1">
        <v>105</v>
      </c>
      <c r="O36" s="1">
        <v>23</v>
      </c>
      <c r="P36" s="1">
        <v>16</v>
      </c>
      <c r="Q36" s="1">
        <v>66</v>
      </c>
      <c r="R36" s="5">
        <f t="shared" si="0"/>
        <v>0.37142857142857144</v>
      </c>
      <c r="S36" s="13" t="str">
        <f t="shared" si="1"/>
        <v>=&lt;50</v>
      </c>
      <c r="T36" s="14">
        <f t="shared" si="2"/>
        <v>5</v>
      </c>
      <c r="U36" s="14">
        <f t="shared" si="3"/>
        <v>2.5</v>
      </c>
    </row>
    <row r="37" spans="1:21" x14ac:dyDescent="0.25">
      <c r="A37" s="1">
        <v>61930276</v>
      </c>
      <c r="B37" s="1">
        <v>219963</v>
      </c>
      <c r="C37" s="1" t="s">
        <v>425</v>
      </c>
      <c r="D37" s="1" t="s">
        <v>930</v>
      </c>
      <c r="E37" s="1" t="s">
        <v>1459</v>
      </c>
      <c r="F37" s="1" t="s">
        <v>76</v>
      </c>
      <c r="G37" s="1" t="s">
        <v>18</v>
      </c>
      <c r="H37" s="1" t="s">
        <v>1414</v>
      </c>
      <c r="I37" s="1" t="s">
        <v>1421</v>
      </c>
      <c r="J37" s="1" t="s">
        <v>1422</v>
      </c>
      <c r="K37" s="1" t="e">
        <f>VLOOKUP(J37,'IU Major Match'!$D$2:$E$65,2,FALSE)</f>
        <v>#N/A</v>
      </c>
      <c r="L37" s="1">
        <v>71905133</v>
      </c>
      <c r="M37" s="1" t="s">
        <v>99</v>
      </c>
      <c r="N37" s="1">
        <v>52</v>
      </c>
      <c r="O37" s="1">
        <v>12</v>
      </c>
      <c r="P37" s="1">
        <v>13</v>
      </c>
      <c r="Q37" s="1">
        <v>27</v>
      </c>
      <c r="R37" s="5">
        <f t="shared" si="0"/>
        <v>0.48076923076923078</v>
      </c>
      <c r="S37" s="13" t="str">
        <f t="shared" si="1"/>
        <v>=&lt;50</v>
      </c>
      <c r="T37" s="14">
        <f t="shared" si="2"/>
        <v>2</v>
      </c>
      <c r="U37" s="14">
        <f t="shared" si="3"/>
        <v>1</v>
      </c>
    </row>
    <row r="38" spans="1:21" x14ac:dyDescent="0.25">
      <c r="A38" s="1">
        <v>62210025</v>
      </c>
      <c r="B38" s="1">
        <v>181865</v>
      </c>
      <c r="C38" s="1" t="s">
        <v>1460</v>
      </c>
      <c r="D38" s="1" t="s">
        <v>199</v>
      </c>
      <c r="E38" s="1" t="s">
        <v>1461</v>
      </c>
      <c r="F38" s="1" t="s">
        <v>76</v>
      </c>
      <c r="G38" s="1" t="s">
        <v>18</v>
      </c>
      <c r="H38" s="1" t="s">
        <v>19</v>
      </c>
      <c r="I38" s="1" t="s">
        <v>245</v>
      </c>
      <c r="J38" s="1" t="s">
        <v>246</v>
      </c>
      <c r="K38" s="1" t="str">
        <f>VLOOKUP(J38,'IU Major Match'!$D$2:$E$65,2,FALSE)</f>
        <v>Major Dont exists in IU</v>
      </c>
      <c r="L38" s="1">
        <v>9613804148</v>
      </c>
      <c r="M38" s="1" t="s">
        <v>387</v>
      </c>
      <c r="N38" s="1">
        <v>114</v>
      </c>
      <c r="O38" s="1">
        <v>92</v>
      </c>
      <c r="P38" s="1">
        <v>13</v>
      </c>
      <c r="Q38" s="1">
        <v>3</v>
      </c>
      <c r="R38" s="5">
        <f t="shared" si="0"/>
        <v>0.92105263157894735</v>
      </c>
      <c r="S38" s="13" t="str">
        <f t="shared" si="1"/>
        <v>&gt;50</v>
      </c>
      <c r="T38" s="14">
        <f t="shared" si="2"/>
        <v>1</v>
      </c>
      <c r="U38" s="14">
        <f t="shared" si="3"/>
        <v>0.5</v>
      </c>
    </row>
    <row r="39" spans="1:21" x14ac:dyDescent="0.25">
      <c r="A39" s="1">
        <v>61930262</v>
      </c>
      <c r="B39" s="1">
        <v>220645</v>
      </c>
      <c r="C39" s="1" t="s">
        <v>1462</v>
      </c>
      <c r="D39" s="1" t="s">
        <v>285</v>
      </c>
      <c r="E39" s="1" t="s">
        <v>1463</v>
      </c>
      <c r="F39" s="1" t="s">
        <v>76</v>
      </c>
      <c r="G39" s="1" t="s">
        <v>18</v>
      </c>
      <c r="H39" s="1" t="s">
        <v>1414</v>
      </c>
      <c r="I39" s="1" t="s">
        <v>1419</v>
      </c>
      <c r="J39" s="1" t="s">
        <v>1420</v>
      </c>
      <c r="K39" s="1" t="e">
        <f>VLOOKUP(J39,'IU Major Match'!$D$2:$E$65,2,FALSE)</f>
        <v>#N/A</v>
      </c>
      <c r="L39" s="1">
        <v>96178921171</v>
      </c>
      <c r="M39" s="1" t="s">
        <v>99</v>
      </c>
      <c r="N39" s="1">
        <v>52</v>
      </c>
      <c r="O39" s="1">
        <v>13</v>
      </c>
      <c r="P39" s="1">
        <v>13</v>
      </c>
      <c r="Q39" s="1">
        <v>26</v>
      </c>
      <c r="R39" s="5">
        <f t="shared" si="0"/>
        <v>0.5</v>
      </c>
      <c r="S39" s="13" t="str">
        <f t="shared" si="1"/>
        <v>=&lt;50</v>
      </c>
      <c r="T39" s="14">
        <f t="shared" si="2"/>
        <v>2</v>
      </c>
      <c r="U39" s="14">
        <f t="shared" si="3"/>
        <v>1</v>
      </c>
    </row>
    <row r="40" spans="1:21" x14ac:dyDescent="0.25">
      <c r="A40" s="1">
        <v>61930368</v>
      </c>
      <c r="B40" s="1">
        <v>208835</v>
      </c>
      <c r="C40" s="1" t="s">
        <v>101</v>
      </c>
      <c r="D40" s="1" t="s">
        <v>198</v>
      </c>
      <c r="E40" s="1" t="s">
        <v>1464</v>
      </c>
      <c r="F40" s="1" t="s">
        <v>76</v>
      </c>
      <c r="G40" s="1" t="s">
        <v>18</v>
      </c>
      <c r="H40" s="1" t="s">
        <v>1414</v>
      </c>
      <c r="I40" s="1" t="s">
        <v>1415</v>
      </c>
      <c r="J40" s="1" t="s">
        <v>1416</v>
      </c>
      <c r="K40" s="1" t="e">
        <f>VLOOKUP(J40,'IU Major Match'!$D$2:$E$65,2,FALSE)</f>
        <v>#N/A</v>
      </c>
      <c r="L40" s="1">
        <v>70379455</v>
      </c>
      <c r="M40" s="1" t="s">
        <v>362</v>
      </c>
      <c r="N40" s="1">
        <v>52</v>
      </c>
      <c r="O40" s="1">
        <v>32</v>
      </c>
      <c r="P40" s="1">
        <v>6</v>
      </c>
      <c r="Q40" s="1">
        <v>14</v>
      </c>
      <c r="R40" s="5">
        <f t="shared" si="0"/>
        <v>0.73076923076923073</v>
      </c>
      <c r="S40" s="13" t="str">
        <f t="shared" si="1"/>
        <v>&gt;50</v>
      </c>
      <c r="T40" s="14">
        <f t="shared" si="2"/>
        <v>1</v>
      </c>
      <c r="U40" s="14">
        <f t="shared" si="3"/>
        <v>0.5</v>
      </c>
    </row>
    <row r="41" spans="1:21" x14ac:dyDescent="0.25">
      <c r="A41" s="1">
        <v>62330109</v>
      </c>
      <c r="B41" s="1">
        <v>199890</v>
      </c>
      <c r="C41" s="1" t="s">
        <v>1465</v>
      </c>
      <c r="D41" s="1" t="s">
        <v>198</v>
      </c>
      <c r="E41" s="1" t="s">
        <v>1466</v>
      </c>
      <c r="F41" s="1" t="s">
        <v>76</v>
      </c>
      <c r="G41" s="1" t="s">
        <v>18</v>
      </c>
      <c r="H41" s="1" t="s">
        <v>19</v>
      </c>
      <c r="I41" s="1" t="s">
        <v>302</v>
      </c>
      <c r="J41" s="1" t="s">
        <v>303</v>
      </c>
      <c r="K41" s="1" t="str">
        <f>VLOOKUP(J41,'IU Major Match'!$D$2:$E$65,2,FALSE)</f>
        <v>Can be Transferred to Bachelor of Engineering</v>
      </c>
      <c r="L41" s="1">
        <v>71718414</v>
      </c>
      <c r="M41" s="1" t="s">
        <v>90</v>
      </c>
      <c r="N41" s="1">
        <v>108</v>
      </c>
      <c r="O41" s="1">
        <v>38</v>
      </c>
      <c r="P41" s="1">
        <v>12</v>
      </c>
      <c r="Q41" s="1">
        <v>58</v>
      </c>
      <c r="R41" s="5">
        <f t="shared" si="0"/>
        <v>0.46296296296296297</v>
      </c>
      <c r="S41" s="13" t="str">
        <f t="shared" si="1"/>
        <v>=&lt;50</v>
      </c>
      <c r="T41" s="14">
        <f t="shared" si="2"/>
        <v>4</v>
      </c>
      <c r="U41" s="14">
        <f t="shared" si="3"/>
        <v>2</v>
      </c>
    </row>
    <row r="42" spans="1:21" x14ac:dyDescent="0.25">
      <c r="A42" s="1">
        <v>61930060</v>
      </c>
      <c r="B42" s="1">
        <v>224752</v>
      </c>
      <c r="C42" s="1" t="s">
        <v>119</v>
      </c>
      <c r="D42" s="1" t="s">
        <v>52</v>
      </c>
      <c r="E42" s="1" t="s">
        <v>1467</v>
      </c>
      <c r="F42" s="1" t="s">
        <v>76</v>
      </c>
      <c r="G42" s="1" t="s">
        <v>18</v>
      </c>
      <c r="H42" s="1" t="s">
        <v>1414</v>
      </c>
      <c r="I42" s="1" t="s">
        <v>1419</v>
      </c>
      <c r="J42" s="1" t="s">
        <v>1420</v>
      </c>
      <c r="K42" s="1" t="e">
        <f>VLOOKUP(J42,'IU Major Match'!$D$2:$E$65,2,FALSE)</f>
        <v>#N/A</v>
      </c>
      <c r="L42" s="1">
        <v>96171244772</v>
      </c>
      <c r="M42" s="1" t="s">
        <v>99</v>
      </c>
      <c r="N42" s="1">
        <v>52</v>
      </c>
      <c r="O42" s="1">
        <v>12</v>
      </c>
      <c r="P42" s="1">
        <v>14</v>
      </c>
      <c r="Q42" s="1">
        <v>26</v>
      </c>
      <c r="R42" s="5">
        <f t="shared" si="0"/>
        <v>0.5</v>
      </c>
      <c r="S42" s="13" t="str">
        <f t="shared" si="1"/>
        <v>=&lt;50</v>
      </c>
      <c r="T42" s="14">
        <f t="shared" si="2"/>
        <v>2</v>
      </c>
      <c r="U42" s="14">
        <f t="shared" si="3"/>
        <v>1</v>
      </c>
    </row>
    <row r="43" spans="1:21" x14ac:dyDescent="0.25">
      <c r="A43" s="1">
        <v>61630265</v>
      </c>
      <c r="B43" s="1">
        <v>141258</v>
      </c>
      <c r="C43" s="1" t="s">
        <v>119</v>
      </c>
      <c r="D43" s="1" t="s">
        <v>214</v>
      </c>
      <c r="E43" s="1" t="s">
        <v>1468</v>
      </c>
      <c r="F43" s="1" t="s">
        <v>76</v>
      </c>
      <c r="G43" s="1" t="s">
        <v>18</v>
      </c>
      <c r="H43" s="1" t="s">
        <v>1414</v>
      </c>
      <c r="I43" s="1" t="s">
        <v>1419</v>
      </c>
      <c r="J43" s="1" t="s">
        <v>1420</v>
      </c>
      <c r="K43" s="1" t="e">
        <f>VLOOKUP(J43,'IU Major Match'!$D$2:$E$65,2,FALSE)</f>
        <v>#N/A</v>
      </c>
      <c r="L43" s="1">
        <v>76375650</v>
      </c>
      <c r="M43" s="1" t="s">
        <v>205</v>
      </c>
      <c r="N43" s="1">
        <v>52</v>
      </c>
      <c r="O43" s="1">
        <v>13</v>
      </c>
      <c r="P43" s="1">
        <v>13</v>
      </c>
      <c r="Q43" s="1">
        <v>26</v>
      </c>
      <c r="R43" s="5">
        <f t="shared" si="0"/>
        <v>0.5</v>
      </c>
      <c r="S43" s="13" t="str">
        <f t="shared" si="1"/>
        <v>=&lt;50</v>
      </c>
      <c r="T43" s="14">
        <f t="shared" si="2"/>
        <v>2</v>
      </c>
      <c r="U43" s="14">
        <f t="shared" si="3"/>
        <v>1</v>
      </c>
    </row>
    <row r="44" spans="1:21" x14ac:dyDescent="0.25">
      <c r="A44" s="1">
        <v>62130457</v>
      </c>
      <c r="B44" s="1">
        <v>224409</v>
      </c>
      <c r="C44" s="1" t="s">
        <v>119</v>
      </c>
      <c r="D44" s="1" t="s">
        <v>46</v>
      </c>
      <c r="E44" s="1" t="s">
        <v>1469</v>
      </c>
      <c r="F44" s="1" t="s">
        <v>76</v>
      </c>
      <c r="G44" s="1" t="s">
        <v>18</v>
      </c>
      <c r="H44" s="1" t="s">
        <v>1414</v>
      </c>
      <c r="I44" s="1" t="s">
        <v>1419</v>
      </c>
      <c r="J44" s="1" t="s">
        <v>1420</v>
      </c>
      <c r="K44" s="1" t="e">
        <f>VLOOKUP(J44,'IU Major Match'!$D$2:$E$65,2,FALSE)</f>
        <v>#N/A</v>
      </c>
      <c r="L44" s="1">
        <v>96176867621</v>
      </c>
      <c r="M44" s="1" t="s">
        <v>99</v>
      </c>
      <c r="N44" s="1">
        <v>52</v>
      </c>
      <c r="O44" s="1">
        <v>13</v>
      </c>
      <c r="P44" s="1">
        <v>13</v>
      </c>
      <c r="Q44" s="1">
        <v>26</v>
      </c>
      <c r="R44" s="5">
        <f t="shared" si="0"/>
        <v>0.5</v>
      </c>
      <c r="S44" s="13" t="str">
        <f t="shared" si="1"/>
        <v>=&lt;50</v>
      </c>
      <c r="T44" s="14">
        <f t="shared" si="2"/>
        <v>2</v>
      </c>
      <c r="U44" s="14">
        <f t="shared" si="3"/>
        <v>1</v>
      </c>
    </row>
    <row r="45" spans="1:21" x14ac:dyDescent="0.25">
      <c r="A45" s="1">
        <v>62230266</v>
      </c>
      <c r="B45" s="1">
        <v>189250</v>
      </c>
      <c r="C45" s="1" t="s">
        <v>190</v>
      </c>
      <c r="D45" s="1" t="s">
        <v>298</v>
      </c>
      <c r="E45" s="1" t="s">
        <v>1470</v>
      </c>
      <c r="F45" s="1" t="s">
        <v>76</v>
      </c>
      <c r="G45" s="1" t="s">
        <v>18</v>
      </c>
      <c r="H45" s="1" t="s">
        <v>19</v>
      </c>
      <c r="I45" s="1" t="s">
        <v>739</v>
      </c>
      <c r="J45" s="1" t="s">
        <v>740</v>
      </c>
      <c r="K45" s="1" t="str">
        <f>VLOOKUP(J45,'IU Major Match'!$D$2:$E$65,2,FALSE)</f>
        <v>Can be Transferred to Bachelor of Engineering</v>
      </c>
      <c r="L45" s="1">
        <v>96181876899</v>
      </c>
      <c r="M45" s="1" t="s">
        <v>153</v>
      </c>
      <c r="N45" s="1">
        <v>108</v>
      </c>
      <c r="O45" s="1">
        <v>90</v>
      </c>
      <c r="P45" s="1">
        <v>18</v>
      </c>
      <c r="Q45" s="1">
        <v>0</v>
      </c>
      <c r="R45" s="5">
        <f t="shared" si="0"/>
        <v>1</v>
      </c>
      <c r="S45" s="13" t="str">
        <f t="shared" si="1"/>
        <v>&gt;50</v>
      </c>
      <c r="T45" s="14">
        <f t="shared" si="2"/>
        <v>0</v>
      </c>
      <c r="U45" s="14">
        <f t="shared" si="3"/>
        <v>0</v>
      </c>
    </row>
    <row r="46" spans="1:21" x14ac:dyDescent="0.25">
      <c r="A46" s="1">
        <v>62230134</v>
      </c>
      <c r="B46" s="1">
        <v>223898</v>
      </c>
      <c r="C46" s="1" t="s">
        <v>190</v>
      </c>
      <c r="D46" s="1" t="s">
        <v>734</v>
      </c>
      <c r="E46" s="1" t="s">
        <v>65</v>
      </c>
      <c r="F46" s="1" t="s">
        <v>76</v>
      </c>
      <c r="G46" s="1" t="s">
        <v>18</v>
      </c>
      <c r="H46" s="1" t="s">
        <v>1414</v>
      </c>
      <c r="I46" s="1" t="s">
        <v>1419</v>
      </c>
      <c r="J46" s="1" t="s">
        <v>1420</v>
      </c>
      <c r="K46" s="1" t="e">
        <f>VLOOKUP(J46,'IU Major Match'!$D$2:$E$65,2,FALSE)</f>
        <v>#N/A</v>
      </c>
      <c r="L46" s="1">
        <v>76508442</v>
      </c>
      <c r="M46" s="1" t="s">
        <v>99</v>
      </c>
      <c r="N46" s="1">
        <v>52</v>
      </c>
      <c r="O46" s="1">
        <v>13</v>
      </c>
      <c r="P46" s="1">
        <v>13</v>
      </c>
      <c r="Q46" s="1">
        <v>26</v>
      </c>
      <c r="R46" s="5">
        <f t="shared" si="0"/>
        <v>0.5</v>
      </c>
      <c r="S46" s="13" t="str">
        <f t="shared" si="1"/>
        <v>=&lt;50</v>
      </c>
      <c r="T46" s="14">
        <f t="shared" si="2"/>
        <v>2</v>
      </c>
      <c r="U46" s="14">
        <f t="shared" si="3"/>
        <v>1</v>
      </c>
    </row>
    <row r="47" spans="1:21" x14ac:dyDescent="0.25">
      <c r="A47" s="1">
        <v>62330107</v>
      </c>
      <c r="B47" s="1">
        <v>199892</v>
      </c>
      <c r="C47" s="1" t="s">
        <v>522</v>
      </c>
      <c r="D47" s="1" t="s">
        <v>1471</v>
      </c>
      <c r="E47" s="1" t="s">
        <v>314</v>
      </c>
      <c r="F47" s="1" t="s">
        <v>76</v>
      </c>
      <c r="G47" s="1" t="s">
        <v>18</v>
      </c>
      <c r="H47" s="1" t="s">
        <v>19</v>
      </c>
      <c r="I47" s="1" t="s">
        <v>302</v>
      </c>
      <c r="J47" s="1" t="s">
        <v>303</v>
      </c>
      <c r="K47" s="1" t="str">
        <f>VLOOKUP(J47,'IU Major Match'!$D$2:$E$65,2,FALSE)</f>
        <v>Can be Transferred to Bachelor of Engineering</v>
      </c>
      <c r="L47" s="1">
        <v>96181786341</v>
      </c>
      <c r="M47" s="1" t="s">
        <v>90</v>
      </c>
      <c r="N47" s="1">
        <v>108</v>
      </c>
      <c r="O47" s="1">
        <v>53</v>
      </c>
      <c r="P47" s="1">
        <v>9</v>
      </c>
      <c r="Q47" s="1">
        <v>46</v>
      </c>
      <c r="R47" s="5">
        <f t="shared" si="0"/>
        <v>0.57407407407407407</v>
      </c>
      <c r="S47" s="13" t="str">
        <f t="shared" si="1"/>
        <v>&gt;50</v>
      </c>
      <c r="T47" s="14">
        <f t="shared" si="2"/>
        <v>4</v>
      </c>
      <c r="U47" s="14">
        <f t="shared" si="3"/>
        <v>2</v>
      </c>
    </row>
    <row r="48" spans="1:21" x14ac:dyDescent="0.25">
      <c r="A48" s="1">
        <v>62130494</v>
      </c>
      <c r="B48" s="1">
        <v>225882</v>
      </c>
      <c r="C48" s="1" t="s">
        <v>522</v>
      </c>
      <c r="D48" s="1" t="s">
        <v>198</v>
      </c>
      <c r="E48" s="1" t="s">
        <v>1472</v>
      </c>
      <c r="F48" s="1" t="s">
        <v>76</v>
      </c>
      <c r="G48" s="1" t="s">
        <v>18</v>
      </c>
      <c r="H48" s="1" t="s">
        <v>1414</v>
      </c>
      <c r="I48" s="1" t="s">
        <v>1415</v>
      </c>
      <c r="J48" s="1" t="s">
        <v>1416</v>
      </c>
      <c r="K48" s="1" t="e">
        <f>VLOOKUP(J48,'IU Major Match'!$D$2:$E$65,2,FALSE)</f>
        <v>#N/A</v>
      </c>
      <c r="L48" s="1">
        <v>96170880029</v>
      </c>
      <c r="M48" s="1" t="s">
        <v>99</v>
      </c>
      <c r="N48" s="1">
        <v>52</v>
      </c>
      <c r="O48" s="1">
        <v>13</v>
      </c>
      <c r="P48" s="1">
        <v>13</v>
      </c>
      <c r="Q48" s="1">
        <v>26</v>
      </c>
      <c r="R48" s="5">
        <f t="shared" si="0"/>
        <v>0.5</v>
      </c>
      <c r="S48" s="13" t="str">
        <f t="shared" si="1"/>
        <v>=&lt;50</v>
      </c>
      <c r="T48" s="14">
        <f t="shared" si="2"/>
        <v>2</v>
      </c>
      <c r="U48" s="14">
        <f t="shared" si="3"/>
        <v>1</v>
      </c>
    </row>
    <row r="49" spans="1:21" x14ac:dyDescent="0.25">
      <c r="A49" s="1">
        <v>62430264</v>
      </c>
      <c r="B49" s="1">
        <v>215194</v>
      </c>
      <c r="C49" s="1" t="s">
        <v>533</v>
      </c>
      <c r="D49" s="1" t="s">
        <v>930</v>
      </c>
      <c r="E49" s="1" t="s">
        <v>1473</v>
      </c>
      <c r="F49" s="1" t="s">
        <v>76</v>
      </c>
      <c r="G49" s="1" t="s">
        <v>23</v>
      </c>
      <c r="H49" s="1" t="s">
        <v>19</v>
      </c>
      <c r="I49" s="1" t="s">
        <v>761</v>
      </c>
      <c r="J49" s="1" t="s">
        <v>762</v>
      </c>
      <c r="K49" s="1" t="str">
        <f>VLOOKUP(J49,'IU Major Match'!$D$2:$E$65,2,FALSE)</f>
        <v>Major Dont exists in IU</v>
      </c>
      <c r="L49" s="1">
        <v>81305819</v>
      </c>
      <c r="M49" s="1" t="s">
        <v>113</v>
      </c>
      <c r="N49" s="1">
        <v>99</v>
      </c>
      <c r="O49" s="1">
        <v>21</v>
      </c>
      <c r="P49" s="1">
        <v>11</v>
      </c>
      <c r="Q49" s="1">
        <v>67</v>
      </c>
      <c r="R49" s="5">
        <f t="shared" si="0"/>
        <v>0.32323232323232326</v>
      </c>
      <c r="S49" s="13" t="str">
        <f t="shared" si="1"/>
        <v>=&lt;50</v>
      </c>
      <c r="T49" s="14">
        <f t="shared" si="2"/>
        <v>5</v>
      </c>
      <c r="U49" s="14">
        <f t="shared" si="3"/>
        <v>2.5</v>
      </c>
    </row>
    <row r="50" spans="1:21" x14ac:dyDescent="0.25">
      <c r="A50" s="1">
        <v>61930351</v>
      </c>
      <c r="B50" s="1">
        <v>194333</v>
      </c>
      <c r="C50" s="1" t="s">
        <v>537</v>
      </c>
      <c r="D50" s="1" t="s">
        <v>1474</v>
      </c>
      <c r="E50" s="1" t="s">
        <v>1475</v>
      </c>
      <c r="F50" s="1" t="s">
        <v>76</v>
      </c>
      <c r="G50" s="1" t="s">
        <v>18</v>
      </c>
      <c r="H50" s="1" t="s">
        <v>1414</v>
      </c>
      <c r="I50" s="1" t="s">
        <v>1419</v>
      </c>
      <c r="J50" s="1" t="s">
        <v>1420</v>
      </c>
      <c r="K50" s="1" t="e">
        <f>VLOOKUP(J50,'IU Major Match'!$D$2:$E$65,2,FALSE)</f>
        <v>#N/A</v>
      </c>
      <c r="L50" s="1">
        <v>9613925443</v>
      </c>
      <c r="M50" s="1" t="s">
        <v>153</v>
      </c>
      <c r="N50" s="1">
        <v>52</v>
      </c>
      <c r="O50" s="1">
        <v>45</v>
      </c>
      <c r="P50" s="1">
        <v>7</v>
      </c>
      <c r="Q50" s="1">
        <v>3</v>
      </c>
      <c r="R50" s="5">
        <f t="shared" si="0"/>
        <v>1</v>
      </c>
      <c r="S50" s="13" t="str">
        <f t="shared" si="1"/>
        <v>&gt;50</v>
      </c>
      <c r="T50" s="14">
        <f t="shared" si="2"/>
        <v>1</v>
      </c>
      <c r="U50" s="14">
        <f t="shared" si="3"/>
        <v>0.5</v>
      </c>
    </row>
    <row r="51" spans="1:21" x14ac:dyDescent="0.25">
      <c r="A51" s="1">
        <v>62230139</v>
      </c>
      <c r="B51" s="1">
        <v>186431</v>
      </c>
      <c r="C51" s="1" t="s">
        <v>1476</v>
      </c>
      <c r="D51" s="1" t="s">
        <v>1477</v>
      </c>
      <c r="E51" s="1" t="s">
        <v>1478</v>
      </c>
      <c r="F51" s="1" t="s">
        <v>76</v>
      </c>
      <c r="G51" s="1" t="s">
        <v>18</v>
      </c>
      <c r="H51" s="1" t="s">
        <v>19</v>
      </c>
      <c r="I51" s="1" t="s">
        <v>164</v>
      </c>
      <c r="J51" s="1" t="s">
        <v>165</v>
      </c>
      <c r="K51" s="1" t="str">
        <f>VLOOKUP(J51,'IU Major Match'!$D$2:$E$65,2,FALSE)</f>
        <v>Can be Transferred to Bachelor of Engineering</v>
      </c>
      <c r="L51" s="1">
        <v>71613863</v>
      </c>
      <c r="M51" s="1" t="s">
        <v>153</v>
      </c>
      <c r="N51" s="1">
        <v>108</v>
      </c>
      <c r="O51" s="1">
        <v>57</v>
      </c>
      <c r="P51" s="1">
        <v>13</v>
      </c>
      <c r="Q51" s="1">
        <v>38</v>
      </c>
      <c r="R51" s="5">
        <f t="shared" si="0"/>
        <v>0.64814814814814814</v>
      </c>
      <c r="S51" s="13" t="str">
        <f t="shared" si="1"/>
        <v>&gt;50</v>
      </c>
      <c r="T51" s="14">
        <f t="shared" si="2"/>
        <v>3</v>
      </c>
      <c r="U51" s="14">
        <f t="shared" si="3"/>
        <v>1.5</v>
      </c>
    </row>
    <row r="52" spans="1:21" x14ac:dyDescent="0.25">
      <c r="A52" s="1">
        <v>62010034</v>
      </c>
      <c r="B52" s="1">
        <v>206578</v>
      </c>
      <c r="C52" s="1" t="s">
        <v>38</v>
      </c>
      <c r="D52" s="1" t="s">
        <v>741</v>
      </c>
      <c r="E52" s="1" t="s">
        <v>545</v>
      </c>
      <c r="F52" s="1" t="s">
        <v>76</v>
      </c>
      <c r="G52" s="1" t="s">
        <v>18</v>
      </c>
      <c r="H52" s="1" t="s">
        <v>1414</v>
      </c>
      <c r="I52" s="1" t="s">
        <v>1419</v>
      </c>
      <c r="J52" s="1" t="s">
        <v>1420</v>
      </c>
      <c r="K52" s="1" t="e">
        <f>VLOOKUP(J52,'IU Major Match'!$D$2:$E$65,2,FALSE)</f>
        <v>#N/A</v>
      </c>
      <c r="L52" s="1">
        <v>3567035</v>
      </c>
      <c r="M52" s="1" t="s">
        <v>90</v>
      </c>
      <c r="N52" s="1">
        <v>52</v>
      </c>
      <c r="O52" s="1">
        <v>40</v>
      </c>
      <c r="P52" s="1">
        <v>9</v>
      </c>
      <c r="Q52" s="1">
        <v>3</v>
      </c>
      <c r="R52" s="5">
        <f t="shared" si="0"/>
        <v>0.94230769230769229</v>
      </c>
      <c r="S52" s="13" t="str">
        <f t="shared" si="1"/>
        <v>&gt;50</v>
      </c>
      <c r="T52" s="14">
        <f t="shared" si="2"/>
        <v>1</v>
      </c>
      <c r="U52" s="14">
        <f t="shared" si="3"/>
        <v>0.5</v>
      </c>
    </row>
    <row r="53" spans="1:21" x14ac:dyDescent="0.25">
      <c r="A53" s="1">
        <v>61830365</v>
      </c>
      <c r="B53" s="1">
        <v>178637</v>
      </c>
      <c r="C53" s="1" t="s">
        <v>509</v>
      </c>
      <c r="D53" s="1" t="s">
        <v>518</v>
      </c>
      <c r="E53" s="1" t="s">
        <v>1479</v>
      </c>
      <c r="F53" s="1" t="s">
        <v>76</v>
      </c>
      <c r="G53" s="1" t="s">
        <v>18</v>
      </c>
      <c r="H53" s="1" t="s">
        <v>1414</v>
      </c>
      <c r="I53" s="1" t="s">
        <v>1415</v>
      </c>
      <c r="J53" s="1" t="s">
        <v>1416</v>
      </c>
      <c r="K53" s="1" t="e">
        <f>VLOOKUP(J53,'IU Major Match'!$D$2:$E$65,2,FALSE)</f>
        <v>#N/A</v>
      </c>
      <c r="L53" s="1">
        <v>81100270</v>
      </c>
      <c r="M53" s="1" t="s">
        <v>79</v>
      </c>
      <c r="N53" s="1">
        <v>52</v>
      </c>
      <c r="O53" s="1">
        <v>26</v>
      </c>
      <c r="P53" s="1">
        <v>4</v>
      </c>
      <c r="Q53" s="1">
        <v>22</v>
      </c>
      <c r="R53" s="5">
        <f t="shared" si="0"/>
        <v>0.57692307692307687</v>
      </c>
      <c r="S53" s="13" t="str">
        <f t="shared" si="1"/>
        <v>&gt;50</v>
      </c>
      <c r="T53" s="14">
        <f t="shared" si="2"/>
        <v>2</v>
      </c>
      <c r="U53" s="14">
        <f t="shared" si="3"/>
        <v>1</v>
      </c>
    </row>
    <row r="54" spans="1:21" x14ac:dyDescent="0.25">
      <c r="A54" s="1">
        <v>62230071</v>
      </c>
      <c r="B54" s="1">
        <v>187273</v>
      </c>
      <c r="C54" s="1" t="s">
        <v>552</v>
      </c>
      <c r="D54" s="1" t="s">
        <v>554</v>
      </c>
      <c r="E54" s="1" t="s">
        <v>288</v>
      </c>
      <c r="F54" s="1" t="s">
        <v>76</v>
      </c>
      <c r="G54" s="1" t="s">
        <v>23</v>
      </c>
      <c r="H54" s="1" t="s">
        <v>19</v>
      </c>
      <c r="I54" s="1" t="s">
        <v>151</v>
      </c>
      <c r="J54" s="1" t="s">
        <v>152</v>
      </c>
      <c r="K54" s="1" t="str">
        <f>VLOOKUP(J54,'IU Major Match'!$D$2:$E$65,2,FALSE)</f>
        <v>Major Dont exists in IU</v>
      </c>
      <c r="L54" s="1">
        <v>96181010184</v>
      </c>
      <c r="M54" s="1" t="s">
        <v>153</v>
      </c>
      <c r="N54" s="1">
        <v>105</v>
      </c>
      <c r="O54" s="1">
        <v>84</v>
      </c>
      <c r="P54" s="1">
        <v>15</v>
      </c>
      <c r="Q54" s="1">
        <v>6</v>
      </c>
      <c r="R54" s="5">
        <f t="shared" si="0"/>
        <v>0.94285714285714284</v>
      </c>
      <c r="S54" s="13" t="str">
        <f t="shared" si="1"/>
        <v>&gt;50</v>
      </c>
      <c r="T54" s="14">
        <f t="shared" si="2"/>
        <v>1</v>
      </c>
      <c r="U54" s="14">
        <f t="shared" si="3"/>
        <v>0.5</v>
      </c>
    </row>
    <row r="55" spans="1:21" x14ac:dyDescent="0.25">
      <c r="A55" s="1">
        <v>62230040</v>
      </c>
      <c r="B55" s="1">
        <v>193108</v>
      </c>
      <c r="C55" s="1" t="s">
        <v>552</v>
      </c>
      <c r="D55" s="1" t="s">
        <v>1480</v>
      </c>
      <c r="E55" s="1" t="s">
        <v>538</v>
      </c>
      <c r="F55" s="1" t="s">
        <v>76</v>
      </c>
      <c r="G55" s="1" t="s">
        <v>68</v>
      </c>
      <c r="H55" s="1" t="s">
        <v>19</v>
      </c>
      <c r="I55" s="1" t="s">
        <v>474</v>
      </c>
      <c r="J55" s="1" t="s">
        <v>475</v>
      </c>
      <c r="K55" s="1" t="str">
        <f>VLOOKUP(J55,'IU Major Match'!$D$2:$E$65,2,FALSE)</f>
        <v xml:space="preserve">Major exists in IU </v>
      </c>
      <c r="L55" s="1">
        <v>96181609921</v>
      </c>
      <c r="M55" s="1" t="s">
        <v>153</v>
      </c>
      <c r="N55" s="1">
        <v>99</v>
      </c>
      <c r="O55" s="1">
        <v>93</v>
      </c>
      <c r="P55" s="1">
        <v>6</v>
      </c>
      <c r="Q55" s="1">
        <v>0</v>
      </c>
      <c r="R55" s="5">
        <f t="shared" si="0"/>
        <v>1</v>
      </c>
      <c r="S55" s="13" t="str">
        <f t="shared" si="1"/>
        <v>&gt;50</v>
      </c>
      <c r="T55" s="14">
        <f t="shared" si="2"/>
        <v>0</v>
      </c>
      <c r="U55" s="14">
        <f t="shared" si="3"/>
        <v>0</v>
      </c>
    </row>
    <row r="56" spans="1:21" x14ac:dyDescent="0.25">
      <c r="A56" s="1">
        <v>62130138</v>
      </c>
      <c r="B56" s="1">
        <v>218990</v>
      </c>
      <c r="C56" s="1" t="s">
        <v>443</v>
      </c>
      <c r="D56" s="1" t="s">
        <v>1481</v>
      </c>
      <c r="E56" s="1" t="s">
        <v>1482</v>
      </c>
      <c r="F56" s="1" t="s">
        <v>76</v>
      </c>
      <c r="G56" s="1" t="s">
        <v>18</v>
      </c>
      <c r="H56" s="1" t="s">
        <v>1414</v>
      </c>
      <c r="I56" s="1" t="s">
        <v>1415</v>
      </c>
      <c r="J56" s="1" t="s">
        <v>1416</v>
      </c>
      <c r="K56" s="1" t="e">
        <f>VLOOKUP(J56,'IU Major Match'!$D$2:$E$65,2,FALSE)</f>
        <v>#N/A</v>
      </c>
      <c r="L56" s="1">
        <v>96178984809</v>
      </c>
      <c r="M56" s="1" t="s">
        <v>99</v>
      </c>
      <c r="N56" s="1">
        <v>52</v>
      </c>
      <c r="O56" s="1">
        <v>13</v>
      </c>
      <c r="P56" s="1">
        <v>13</v>
      </c>
      <c r="Q56" s="1">
        <v>26</v>
      </c>
      <c r="R56" s="5">
        <f t="shared" si="0"/>
        <v>0.5</v>
      </c>
      <c r="S56" s="13" t="str">
        <f t="shared" si="1"/>
        <v>=&lt;50</v>
      </c>
      <c r="T56" s="14">
        <f t="shared" si="2"/>
        <v>2</v>
      </c>
      <c r="U56" s="14">
        <f t="shared" si="3"/>
        <v>1</v>
      </c>
    </row>
    <row r="57" spans="1:21" x14ac:dyDescent="0.25">
      <c r="A57" s="1">
        <v>62330150</v>
      </c>
      <c r="B57" s="1">
        <v>200546</v>
      </c>
      <c r="C57" s="1" t="s">
        <v>240</v>
      </c>
      <c r="D57" s="1" t="s">
        <v>224</v>
      </c>
      <c r="E57" s="1" t="s">
        <v>1101</v>
      </c>
      <c r="F57" s="1" t="s">
        <v>76</v>
      </c>
      <c r="G57" s="1" t="s">
        <v>18</v>
      </c>
      <c r="H57" s="1" t="s">
        <v>19</v>
      </c>
      <c r="I57" s="1" t="s">
        <v>164</v>
      </c>
      <c r="J57" s="1" t="s">
        <v>165</v>
      </c>
      <c r="K57" s="1" t="str">
        <f>VLOOKUP(J57,'IU Major Match'!$D$2:$E$65,2,FALSE)</f>
        <v>Can be Transferred to Bachelor of Engineering</v>
      </c>
      <c r="L57" s="1">
        <v>76430519</v>
      </c>
      <c r="M57" s="1" t="s">
        <v>90</v>
      </c>
      <c r="N57" s="1">
        <v>108</v>
      </c>
      <c r="O57" s="1">
        <v>25</v>
      </c>
      <c r="P57" s="1">
        <v>13</v>
      </c>
      <c r="Q57" s="1">
        <v>70</v>
      </c>
      <c r="R57" s="5">
        <f t="shared" si="0"/>
        <v>0.35185185185185186</v>
      </c>
      <c r="S57" s="13" t="str">
        <f t="shared" si="1"/>
        <v>=&lt;50</v>
      </c>
      <c r="T57" s="14">
        <f t="shared" si="2"/>
        <v>5</v>
      </c>
      <c r="U57" s="14">
        <f t="shared" si="3"/>
        <v>2.5</v>
      </c>
    </row>
    <row r="58" spans="1:21" x14ac:dyDescent="0.25">
      <c r="A58" s="1">
        <v>62410031</v>
      </c>
      <c r="B58" s="1">
        <v>208333</v>
      </c>
      <c r="C58" s="1" t="s">
        <v>564</v>
      </c>
      <c r="D58" s="1" t="s">
        <v>1483</v>
      </c>
      <c r="E58" s="1" t="s">
        <v>1484</v>
      </c>
      <c r="F58" s="1" t="s">
        <v>76</v>
      </c>
      <c r="G58" s="1" t="s">
        <v>23</v>
      </c>
      <c r="H58" s="1" t="s">
        <v>19</v>
      </c>
      <c r="I58" s="1" t="s">
        <v>103</v>
      </c>
      <c r="J58" s="1" t="s">
        <v>104</v>
      </c>
      <c r="K58" s="1" t="str">
        <f>VLOOKUP(J58,'IU Major Match'!$D$2:$E$65,2,FALSE)</f>
        <v xml:space="preserve">Major exists in IU </v>
      </c>
      <c r="L58" s="1">
        <v>79131124</v>
      </c>
      <c r="M58" s="1" t="s">
        <v>362</v>
      </c>
      <c r="N58" s="1">
        <v>100</v>
      </c>
      <c r="O58" s="1">
        <v>94</v>
      </c>
      <c r="P58" s="1">
        <v>6</v>
      </c>
      <c r="Q58" s="1">
        <v>0</v>
      </c>
      <c r="R58" s="5">
        <f t="shared" si="0"/>
        <v>1</v>
      </c>
      <c r="S58" s="13" t="str">
        <f t="shared" si="1"/>
        <v>&gt;50</v>
      </c>
      <c r="T58" s="14">
        <f t="shared" si="2"/>
        <v>0</v>
      </c>
      <c r="U58" s="14">
        <f t="shared" si="3"/>
        <v>0</v>
      </c>
    </row>
    <row r="59" spans="1:21" x14ac:dyDescent="0.25">
      <c r="A59" s="1">
        <v>61730025</v>
      </c>
      <c r="B59" s="1">
        <v>207934</v>
      </c>
      <c r="C59" s="1" t="s">
        <v>265</v>
      </c>
      <c r="D59" s="1" t="s">
        <v>1485</v>
      </c>
      <c r="E59" s="1" t="s">
        <v>958</v>
      </c>
      <c r="F59" s="1" t="s">
        <v>76</v>
      </c>
      <c r="G59" s="1" t="s">
        <v>18</v>
      </c>
      <c r="H59" s="1" t="s">
        <v>1414</v>
      </c>
      <c r="I59" s="1" t="s">
        <v>1415</v>
      </c>
      <c r="J59" s="1" t="s">
        <v>1416</v>
      </c>
      <c r="K59" s="1" t="e">
        <f>VLOOKUP(J59,'IU Major Match'!$D$2:$E$65,2,FALSE)</f>
        <v>#N/A</v>
      </c>
      <c r="L59" s="1">
        <v>76338782</v>
      </c>
      <c r="M59" s="1" t="s">
        <v>362</v>
      </c>
      <c r="N59" s="1">
        <v>52</v>
      </c>
      <c r="O59" s="1">
        <v>42</v>
      </c>
      <c r="P59" s="1">
        <v>10</v>
      </c>
      <c r="Q59" s="1">
        <v>0</v>
      </c>
      <c r="R59" s="5">
        <f t="shared" si="0"/>
        <v>1</v>
      </c>
      <c r="S59" s="13" t="str">
        <f t="shared" si="1"/>
        <v>&gt;50</v>
      </c>
      <c r="T59" s="14">
        <f t="shared" si="2"/>
        <v>0</v>
      </c>
      <c r="U59" s="14">
        <f t="shared" si="3"/>
        <v>0</v>
      </c>
    </row>
    <row r="60" spans="1:21" x14ac:dyDescent="0.25">
      <c r="A60" s="1">
        <v>62430108</v>
      </c>
      <c r="B60" s="1">
        <v>210049</v>
      </c>
      <c r="C60" s="1" t="s">
        <v>265</v>
      </c>
      <c r="D60" s="1" t="s">
        <v>569</v>
      </c>
      <c r="E60" s="1" t="s">
        <v>1486</v>
      </c>
      <c r="F60" s="1" t="s">
        <v>76</v>
      </c>
      <c r="G60" s="1" t="s">
        <v>23</v>
      </c>
      <c r="H60" s="1" t="s">
        <v>19</v>
      </c>
      <c r="I60" s="1" t="s">
        <v>88</v>
      </c>
      <c r="J60" s="1" t="s">
        <v>89</v>
      </c>
      <c r="K60" s="1" t="str">
        <f>VLOOKUP(J60,'IU Major Match'!$D$2:$E$65,2,FALSE)</f>
        <v xml:space="preserve">Major exists in IU </v>
      </c>
      <c r="L60" s="1">
        <v>81281552</v>
      </c>
      <c r="M60" s="1" t="s">
        <v>113</v>
      </c>
      <c r="N60" s="1">
        <v>99</v>
      </c>
      <c r="O60" s="1">
        <v>21</v>
      </c>
      <c r="P60" s="1">
        <v>12</v>
      </c>
      <c r="Q60" s="1">
        <v>66</v>
      </c>
      <c r="R60" s="5">
        <f t="shared" si="0"/>
        <v>0.33333333333333331</v>
      </c>
      <c r="S60" s="13" t="str">
        <f t="shared" si="1"/>
        <v>=&lt;50</v>
      </c>
      <c r="T60" s="14">
        <f t="shared" si="2"/>
        <v>5</v>
      </c>
      <c r="U60" s="14">
        <f t="shared" si="3"/>
        <v>2.5</v>
      </c>
    </row>
    <row r="61" spans="1:21" x14ac:dyDescent="0.25">
      <c r="A61" s="1">
        <v>62320004</v>
      </c>
      <c r="B61" s="1">
        <v>198406</v>
      </c>
      <c r="C61" s="1" t="s">
        <v>265</v>
      </c>
      <c r="D61" s="1" t="s">
        <v>937</v>
      </c>
      <c r="E61" s="1" t="s">
        <v>1364</v>
      </c>
      <c r="F61" s="1" t="s">
        <v>76</v>
      </c>
      <c r="G61" s="1" t="s">
        <v>18</v>
      </c>
      <c r="H61" s="1" t="s">
        <v>19</v>
      </c>
      <c r="I61" s="1" t="s">
        <v>164</v>
      </c>
      <c r="J61" s="1" t="s">
        <v>165</v>
      </c>
      <c r="K61" s="1" t="str">
        <f>VLOOKUP(J61,'IU Major Match'!$D$2:$E$65,2,FALSE)</f>
        <v>Can be Transferred to Bachelor of Engineering</v>
      </c>
      <c r="L61" s="1">
        <v>76189639</v>
      </c>
      <c r="M61" s="1" t="s">
        <v>423</v>
      </c>
      <c r="N61" s="1">
        <v>108</v>
      </c>
      <c r="O61" s="1">
        <v>57</v>
      </c>
      <c r="P61" s="1">
        <v>17</v>
      </c>
      <c r="Q61" s="1">
        <v>34</v>
      </c>
      <c r="R61" s="5">
        <f t="shared" si="0"/>
        <v>0.68518518518518523</v>
      </c>
      <c r="S61" s="13" t="str">
        <f t="shared" si="1"/>
        <v>&gt;50</v>
      </c>
      <c r="T61" s="14">
        <f t="shared" si="2"/>
        <v>3</v>
      </c>
      <c r="U61" s="14">
        <f t="shared" si="3"/>
        <v>1.5</v>
      </c>
    </row>
    <row r="62" spans="1:21" x14ac:dyDescent="0.25">
      <c r="A62" s="1">
        <v>62110046</v>
      </c>
      <c r="B62" s="1">
        <v>216330</v>
      </c>
      <c r="C62" s="1" t="s">
        <v>198</v>
      </c>
      <c r="D62" s="1" t="s">
        <v>325</v>
      </c>
      <c r="E62" s="1" t="s">
        <v>1464</v>
      </c>
      <c r="F62" s="1" t="s">
        <v>76</v>
      </c>
      <c r="G62" s="1" t="s">
        <v>18</v>
      </c>
      <c r="H62" s="1" t="s">
        <v>1414</v>
      </c>
      <c r="I62" s="1" t="s">
        <v>1487</v>
      </c>
      <c r="J62" s="1" t="s">
        <v>1488</v>
      </c>
      <c r="K62" s="1" t="e">
        <f>VLOOKUP(J62,'IU Major Match'!$D$2:$E$65,2,FALSE)</f>
        <v>#N/A</v>
      </c>
      <c r="L62" s="1">
        <v>76457915</v>
      </c>
      <c r="M62" s="1" t="s">
        <v>113</v>
      </c>
      <c r="N62" s="1">
        <v>52</v>
      </c>
      <c r="O62" s="1">
        <v>39</v>
      </c>
      <c r="P62" s="1">
        <v>13</v>
      </c>
      <c r="Q62" s="1">
        <v>0</v>
      </c>
      <c r="R62" s="5">
        <f t="shared" si="0"/>
        <v>1</v>
      </c>
      <c r="S62" s="13" t="str">
        <f t="shared" si="1"/>
        <v>&gt;50</v>
      </c>
      <c r="T62" s="14">
        <f t="shared" si="2"/>
        <v>0</v>
      </c>
      <c r="U62" s="14">
        <f t="shared" si="3"/>
        <v>0</v>
      </c>
    </row>
    <row r="63" spans="1:21" x14ac:dyDescent="0.25">
      <c r="A63" s="1">
        <v>61930419</v>
      </c>
      <c r="B63" s="1">
        <v>212079</v>
      </c>
      <c r="C63" s="1" t="s">
        <v>198</v>
      </c>
      <c r="D63" s="1" t="s">
        <v>1463</v>
      </c>
      <c r="E63" s="1" t="s">
        <v>1489</v>
      </c>
      <c r="F63" s="1" t="s">
        <v>76</v>
      </c>
      <c r="G63" s="1" t="s">
        <v>18</v>
      </c>
      <c r="H63" s="1" t="s">
        <v>1414</v>
      </c>
      <c r="I63" s="1" t="s">
        <v>1419</v>
      </c>
      <c r="J63" s="1" t="s">
        <v>1420</v>
      </c>
      <c r="K63" s="1" t="e">
        <f>VLOOKUP(J63,'IU Major Match'!$D$2:$E$65,2,FALSE)</f>
        <v>#N/A</v>
      </c>
      <c r="L63" s="1">
        <v>96176679667</v>
      </c>
      <c r="M63" s="1" t="s">
        <v>113</v>
      </c>
      <c r="N63" s="1">
        <v>52</v>
      </c>
      <c r="O63" s="1">
        <v>40</v>
      </c>
      <c r="P63" s="1">
        <v>12</v>
      </c>
      <c r="Q63" s="1">
        <v>0</v>
      </c>
      <c r="R63" s="5">
        <f t="shared" si="0"/>
        <v>1</v>
      </c>
      <c r="S63" s="13" t="str">
        <f t="shared" si="1"/>
        <v>&gt;50</v>
      </c>
      <c r="T63" s="14">
        <f t="shared" si="2"/>
        <v>0</v>
      </c>
      <c r="U63" s="14">
        <f t="shared" si="3"/>
        <v>0</v>
      </c>
    </row>
    <row r="64" spans="1:21" x14ac:dyDescent="0.25">
      <c r="A64" s="1">
        <v>62130143</v>
      </c>
      <c r="B64" s="1">
        <v>220836</v>
      </c>
      <c r="C64" s="1" t="s">
        <v>198</v>
      </c>
      <c r="D64" s="1" t="s">
        <v>951</v>
      </c>
      <c r="E64" s="1" t="s">
        <v>952</v>
      </c>
      <c r="F64" s="1" t="s">
        <v>76</v>
      </c>
      <c r="G64" s="1" t="s">
        <v>18</v>
      </c>
      <c r="H64" s="1" t="s">
        <v>1414</v>
      </c>
      <c r="I64" s="1" t="s">
        <v>1419</v>
      </c>
      <c r="J64" s="1" t="s">
        <v>1420</v>
      </c>
      <c r="K64" s="1" t="e">
        <f>VLOOKUP(J64,'IU Major Match'!$D$2:$E$65,2,FALSE)</f>
        <v>#N/A</v>
      </c>
      <c r="L64" s="1">
        <v>71619175</v>
      </c>
      <c r="M64" s="1" t="s">
        <v>99</v>
      </c>
      <c r="N64" s="1">
        <v>52</v>
      </c>
      <c r="O64" s="1">
        <v>13</v>
      </c>
      <c r="P64" s="1">
        <v>13</v>
      </c>
      <c r="Q64" s="1">
        <v>26</v>
      </c>
      <c r="R64" s="5">
        <f t="shared" si="0"/>
        <v>0.5</v>
      </c>
      <c r="S64" s="13" t="str">
        <f t="shared" si="1"/>
        <v>=&lt;50</v>
      </c>
      <c r="T64" s="14">
        <f t="shared" si="2"/>
        <v>2</v>
      </c>
      <c r="U64" s="14">
        <f t="shared" si="3"/>
        <v>1</v>
      </c>
    </row>
    <row r="65" spans="1:21" x14ac:dyDescent="0.25">
      <c r="A65" s="1">
        <v>61930271</v>
      </c>
      <c r="B65" s="1">
        <v>203068</v>
      </c>
      <c r="C65" s="1" t="s">
        <v>198</v>
      </c>
      <c r="D65" s="1" t="s">
        <v>43</v>
      </c>
      <c r="E65" s="1" t="s">
        <v>938</v>
      </c>
      <c r="F65" s="1" t="s">
        <v>76</v>
      </c>
      <c r="G65" s="1" t="s">
        <v>18</v>
      </c>
      <c r="H65" s="1" t="s">
        <v>1414</v>
      </c>
      <c r="I65" s="1" t="s">
        <v>1487</v>
      </c>
      <c r="J65" s="1" t="s">
        <v>1488</v>
      </c>
      <c r="K65" s="1" t="e">
        <f>VLOOKUP(J65,'IU Major Match'!$D$2:$E$65,2,FALSE)</f>
        <v>#N/A</v>
      </c>
      <c r="L65" s="1">
        <v>76440613</v>
      </c>
      <c r="M65" s="1" t="s">
        <v>90</v>
      </c>
      <c r="N65" s="1">
        <v>52</v>
      </c>
      <c r="O65" s="1">
        <v>39</v>
      </c>
      <c r="P65" s="1">
        <v>13</v>
      </c>
      <c r="Q65" s="1">
        <v>0</v>
      </c>
      <c r="R65" s="5">
        <f t="shared" si="0"/>
        <v>1</v>
      </c>
      <c r="S65" s="13" t="str">
        <f t="shared" si="1"/>
        <v>&gt;50</v>
      </c>
      <c r="T65" s="14">
        <f t="shared" si="2"/>
        <v>0</v>
      </c>
      <c r="U65" s="14">
        <f t="shared" si="3"/>
        <v>0</v>
      </c>
    </row>
    <row r="66" spans="1:21" x14ac:dyDescent="0.25">
      <c r="A66" s="1">
        <v>62310013</v>
      </c>
      <c r="B66" s="1">
        <v>196954</v>
      </c>
      <c r="C66" s="1" t="s">
        <v>198</v>
      </c>
      <c r="D66" s="1" t="s">
        <v>325</v>
      </c>
      <c r="E66" s="1" t="s">
        <v>1490</v>
      </c>
      <c r="F66" s="1" t="s">
        <v>76</v>
      </c>
      <c r="G66" s="1" t="s">
        <v>23</v>
      </c>
      <c r="H66" s="1" t="s">
        <v>19</v>
      </c>
      <c r="I66" s="1" t="s">
        <v>103</v>
      </c>
      <c r="J66" s="1" t="s">
        <v>104</v>
      </c>
      <c r="K66" s="1" t="str">
        <f>VLOOKUP(J66,'IU Major Match'!$D$2:$E$65,2,FALSE)</f>
        <v xml:space="preserve">Major exists in IU </v>
      </c>
      <c r="L66" s="1">
        <v>96176774044</v>
      </c>
      <c r="M66" s="1" t="s">
        <v>178</v>
      </c>
      <c r="N66" s="1">
        <v>100</v>
      </c>
      <c r="O66" s="1">
        <v>91</v>
      </c>
      <c r="P66" s="1">
        <v>9</v>
      </c>
      <c r="Q66" s="1">
        <v>0</v>
      </c>
      <c r="R66" s="5">
        <f t="shared" si="0"/>
        <v>1</v>
      </c>
      <c r="S66" s="13" t="str">
        <f t="shared" si="1"/>
        <v>&gt;50</v>
      </c>
      <c r="T66" s="14">
        <f t="shared" si="2"/>
        <v>0</v>
      </c>
      <c r="U66" s="14">
        <f t="shared" si="3"/>
        <v>0</v>
      </c>
    </row>
    <row r="67" spans="1:21" x14ac:dyDescent="0.25">
      <c r="A67" s="1">
        <v>62330188</v>
      </c>
      <c r="B67" s="1">
        <v>201057</v>
      </c>
      <c r="C67" s="1" t="s">
        <v>198</v>
      </c>
      <c r="D67" s="1" t="s">
        <v>1491</v>
      </c>
      <c r="E67" s="1" t="s">
        <v>1491</v>
      </c>
      <c r="F67" s="1" t="s">
        <v>76</v>
      </c>
      <c r="G67" s="1" t="s">
        <v>18</v>
      </c>
      <c r="H67" s="1" t="s">
        <v>19</v>
      </c>
      <c r="I67" s="1" t="s">
        <v>739</v>
      </c>
      <c r="J67" s="1" t="s">
        <v>740</v>
      </c>
      <c r="K67" s="1" t="str">
        <f>VLOOKUP(J67,'IU Major Match'!$D$2:$E$65,2,FALSE)</f>
        <v>Can be Transferred to Bachelor of Engineering</v>
      </c>
      <c r="L67" s="1">
        <v>71647760</v>
      </c>
      <c r="M67" s="1" t="s">
        <v>90</v>
      </c>
      <c r="N67" s="1">
        <v>108</v>
      </c>
      <c r="O67" s="1">
        <v>62</v>
      </c>
      <c r="P67" s="1">
        <v>13</v>
      </c>
      <c r="Q67" s="1">
        <v>33</v>
      </c>
      <c r="R67" s="5">
        <f t="shared" ref="R67:R130" si="4">(O67+P67)/N67</f>
        <v>0.69444444444444442</v>
      </c>
      <c r="S67" s="13" t="str">
        <f t="shared" ref="S67:S130" si="5">IF(R67&lt;=50%,"=&lt;50","&gt;50")</f>
        <v>&gt;50</v>
      </c>
      <c r="T67" s="14">
        <f t="shared" ref="T67:T130" si="6">ROUNDUP(Q67/15,0)</f>
        <v>3</v>
      </c>
      <c r="U67" s="14">
        <f t="shared" ref="U67:U130" si="7">T67/2</f>
        <v>1.5</v>
      </c>
    </row>
    <row r="68" spans="1:21" x14ac:dyDescent="0.25">
      <c r="A68" s="1">
        <v>62330184</v>
      </c>
      <c r="B68" s="1">
        <v>202710</v>
      </c>
      <c r="C68" s="1" t="s">
        <v>571</v>
      </c>
      <c r="D68" s="1" t="s">
        <v>617</v>
      </c>
      <c r="E68" s="1" t="s">
        <v>399</v>
      </c>
      <c r="F68" s="1" t="s">
        <v>76</v>
      </c>
      <c r="G68" s="1" t="s">
        <v>23</v>
      </c>
      <c r="H68" s="1" t="s">
        <v>19</v>
      </c>
      <c r="I68" s="1" t="s">
        <v>1045</v>
      </c>
      <c r="J68" s="1" t="s">
        <v>1046</v>
      </c>
      <c r="K68" s="1" t="str">
        <f>VLOOKUP(J68,'IU Major Match'!$D$2:$E$65,2,FALSE)</f>
        <v>Major Dont exists in IU</v>
      </c>
      <c r="L68" s="1">
        <v>70290282</v>
      </c>
      <c r="M68" s="1" t="s">
        <v>90</v>
      </c>
      <c r="N68" s="1">
        <v>99</v>
      </c>
      <c r="O68" s="1">
        <v>55</v>
      </c>
      <c r="P68" s="1">
        <v>15</v>
      </c>
      <c r="Q68" s="1">
        <v>29</v>
      </c>
      <c r="R68" s="5">
        <f t="shared" si="4"/>
        <v>0.70707070707070707</v>
      </c>
      <c r="S68" s="13" t="str">
        <f t="shared" si="5"/>
        <v>&gt;50</v>
      </c>
      <c r="T68" s="14">
        <f t="shared" si="6"/>
        <v>2</v>
      </c>
      <c r="U68" s="14">
        <f t="shared" si="7"/>
        <v>1</v>
      </c>
    </row>
    <row r="69" spans="1:21" x14ac:dyDescent="0.25">
      <c r="A69" s="1">
        <v>62230298</v>
      </c>
      <c r="B69" s="1">
        <v>191080</v>
      </c>
      <c r="C69" s="1" t="s">
        <v>623</v>
      </c>
      <c r="D69" s="1" t="s">
        <v>198</v>
      </c>
      <c r="E69" s="1" t="s">
        <v>953</v>
      </c>
      <c r="F69" s="1" t="s">
        <v>76</v>
      </c>
      <c r="G69" s="1" t="s">
        <v>93</v>
      </c>
      <c r="H69" s="1" t="s">
        <v>19</v>
      </c>
      <c r="I69" s="1" t="s">
        <v>111</v>
      </c>
      <c r="J69" s="1" t="s">
        <v>112</v>
      </c>
      <c r="K69" s="1" t="str">
        <f>VLOOKUP(J69,'IU Major Match'!$D$2:$E$65,2,FALSE)</f>
        <v xml:space="preserve">Major exists in IU </v>
      </c>
      <c r="L69" s="1">
        <v>96170739458</v>
      </c>
      <c r="M69" s="1" t="s">
        <v>153</v>
      </c>
      <c r="N69" s="1">
        <v>99</v>
      </c>
      <c r="O69" s="1">
        <v>87</v>
      </c>
      <c r="P69" s="1">
        <v>12</v>
      </c>
      <c r="Q69" s="1">
        <v>0</v>
      </c>
      <c r="R69" s="5">
        <f t="shared" si="4"/>
        <v>1</v>
      </c>
      <c r="S69" s="13" t="str">
        <f t="shared" si="5"/>
        <v>&gt;50</v>
      </c>
      <c r="T69" s="14">
        <f t="shared" si="6"/>
        <v>0</v>
      </c>
      <c r="U69" s="14">
        <f t="shared" si="7"/>
        <v>0</v>
      </c>
    </row>
    <row r="70" spans="1:21" x14ac:dyDescent="0.25">
      <c r="A70" s="1">
        <v>62230035</v>
      </c>
      <c r="B70" s="1">
        <v>219435</v>
      </c>
      <c r="C70" s="1" t="s">
        <v>1492</v>
      </c>
      <c r="D70" s="1" t="s">
        <v>597</v>
      </c>
      <c r="E70" s="1" t="s">
        <v>1493</v>
      </c>
      <c r="F70" s="1" t="s">
        <v>76</v>
      </c>
      <c r="G70" s="1" t="s">
        <v>93</v>
      </c>
      <c r="H70" s="1" t="s">
        <v>1414</v>
      </c>
      <c r="I70" s="1" t="s">
        <v>1454</v>
      </c>
      <c r="J70" s="1" t="s">
        <v>1455</v>
      </c>
      <c r="K70" s="1" t="e">
        <f>VLOOKUP(J70,'IU Major Match'!$D$2:$E$65,2,FALSE)</f>
        <v>#N/A</v>
      </c>
      <c r="L70" s="1">
        <v>76376442</v>
      </c>
      <c r="M70" s="1" t="s">
        <v>99</v>
      </c>
      <c r="N70" s="1">
        <v>39</v>
      </c>
      <c r="O70" s="1">
        <v>9</v>
      </c>
      <c r="P70" s="1">
        <v>9</v>
      </c>
      <c r="Q70" s="1">
        <v>21</v>
      </c>
      <c r="R70" s="5">
        <f t="shared" si="4"/>
        <v>0.46153846153846156</v>
      </c>
      <c r="S70" s="13" t="str">
        <f t="shared" si="5"/>
        <v>=&lt;50</v>
      </c>
      <c r="T70" s="14">
        <f t="shared" si="6"/>
        <v>2</v>
      </c>
      <c r="U70" s="14">
        <f t="shared" si="7"/>
        <v>1</v>
      </c>
    </row>
    <row r="71" spans="1:21" x14ac:dyDescent="0.25">
      <c r="A71" s="1">
        <v>62530135</v>
      </c>
      <c r="B71" s="1">
        <v>224956</v>
      </c>
      <c r="C71" s="1" t="s">
        <v>40</v>
      </c>
      <c r="D71" s="1" t="s">
        <v>793</v>
      </c>
      <c r="E71" s="1" t="s">
        <v>794</v>
      </c>
      <c r="F71" s="1" t="s">
        <v>76</v>
      </c>
      <c r="G71" s="1" t="s">
        <v>23</v>
      </c>
      <c r="H71" s="1" t="s">
        <v>19</v>
      </c>
      <c r="I71" s="1" t="s">
        <v>258</v>
      </c>
      <c r="J71" s="1" t="s">
        <v>259</v>
      </c>
      <c r="K71" s="1" t="str">
        <f>VLOOKUP(J71,'IU Major Match'!$D$2:$E$65,2,FALSE)</f>
        <v xml:space="preserve">Major exists in IU </v>
      </c>
      <c r="L71" s="1">
        <v>96171775146</v>
      </c>
      <c r="M71" s="1" t="s">
        <v>99</v>
      </c>
      <c r="N71" s="1">
        <v>108</v>
      </c>
      <c r="O71" s="1">
        <v>0</v>
      </c>
      <c r="P71" s="1">
        <v>9</v>
      </c>
      <c r="Q71" s="1">
        <v>99</v>
      </c>
      <c r="R71" s="5">
        <f t="shared" si="4"/>
        <v>8.3333333333333329E-2</v>
      </c>
      <c r="S71" s="13" t="str">
        <f t="shared" si="5"/>
        <v>=&lt;50</v>
      </c>
      <c r="T71" s="14">
        <f t="shared" si="6"/>
        <v>7</v>
      </c>
      <c r="U71" s="14">
        <f t="shared" si="7"/>
        <v>3.5</v>
      </c>
    </row>
    <row r="72" spans="1:21" x14ac:dyDescent="0.25">
      <c r="A72" s="1">
        <v>62030153</v>
      </c>
      <c r="B72" s="1">
        <v>155956</v>
      </c>
      <c r="C72" s="1" t="s">
        <v>1494</v>
      </c>
      <c r="D72" s="1" t="s">
        <v>1495</v>
      </c>
      <c r="E72" s="1" t="s">
        <v>1496</v>
      </c>
      <c r="F72" s="1" t="s">
        <v>76</v>
      </c>
      <c r="G72" s="1" t="s">
        <v>23</v>
      </c>
      <c r="H72" s="1" t="s">
        <v>19</v>
      </c>
      <c r="I72" s="1" t="s">
        <v>88</v>
      </c>
      <c r="J72" s="1" t="s">
        <v>89</v>
      </c>
      <c r="K72" s="1" t="str">
        <f>VLOOKUP(J72,'IU Major Match'!$D$2:$E$65,2,FALSE)</f>
        <v xml:space="preserve">Major exists in IU </v>
      </c>
      <c r="L72" s="1">
        <v>9613019752</v>
      </c>
      <c r="M72" s="1" t="s">
        <v>51</v>
      </c>
      <c r="N72" s="1">
        <v>99</v>
      </c>
      <c r="O72" s="1">
        <v>83</v>
      </c>
      <c r="P72" s="1">
        <v>10</v>
      </c>
      <c r="Q72" s="1">
        <v>6</v>
      </c>
      <c r="R72" s="5">
        <f t="shared" si="4"/>
        <v>0.93939393939393945</v>
      </c>
      <c r="S72" s="13" t="str">
        <f t="shared" si="5"/>
        <v>&gt;50</v>
      </c>
      <c r="T72" s="14">
        <f t="shared" si="6"/>
        <v>1</v>
      </c>
      <c r="U72" s="14">
        <f t="shared" si="7"/>
        <v>0.5</v>
      </c>
    </row>
    <row r="73" spans="1:21" x14ac:dyDescent="0.25">
      <c r="A73" s="1">
        <v>62130480</v>
      </c>
      <c r="B73" s="1">
        <v>181638</v>
      </c>
      <c r="C73" s="1" t="s">
        <v>42</v>
      </c>
      <c r="D73" s="1" t="s">
        <v>1497</v>
      </c>
      <c r="E73" s="1" t="s">
        <v>1498</v>
      </c>
      <c r="F73" s="1" t="s">
        <v>76</v>
      </c>
      <c r="G73" s="1" t="s">
        <v>18</v>
      </c>
      <c r="H73" s="1" t="s">
        <v>19</v>
      </c>
      <c r="I73" s="1" t="s">
        <v>82</v>
      </c>
      <c r="J73" s="1" t="s">
        <v>83</v>
      </c>
      <c r="K73" s="1" t="str">
        <f>VLOOKUP(J73,'IU Major Match'!$D$2:$E$65,2,FALSE)</f>
        <v>Can be Transferred to Bachelor of Engineering</v>
      </c>
      <c r="L73" s="1">
        <v>70494607</v>
      </c>
      <c r="M73" s="1" t="s">
        <v>79</v>
      </c>
      <c r="N73" s="1">
        <v>108</v>
      </c>
      <c r="O73" s="1">
        <v>47</v>
      </c>
      <c r="P73" s="1">
        <v>16</v>
      </c>
      <c r="Q73" s="1">
        <v>45</v>
      </c>
      <c r="R73" s="5">
        <f t="shared" si="4"/>
        <v>0.58333333333333337</v>
      </c>
      <c r="S73" s="13" t="str">
        <f t="shared" si="5"/>
        <v>&gt;50</v>
      </c>
      <c r="T73" s="14">
        <f t="shared" si="6"/>
        <v>3</v>
      </c>
      <c r="U73" s="14">
        <f t="shared" si="7"/>
        <v>1.5</v>
      </c>
    </row>
    <row r="74" spans="1:21" x14ac:dyDescent="0.25">
      <c r="A74" s="1">
        <v>62430337</v>
      </c>
      <c r="B74" s="1">
        <v>217265</v>
      </c>
      <c r="C74" s="1" t="s">
        <v>37</v>
      </c>
      <c r="D74" s="1" t="s">
        <v>443</v>
      </c>
      <c r="E74" s="1" t="s">
        <v>436</v>
      </c>
      <c r="F74" s="1" t="s">
        <v>76</v>
      </c>
      <c r="G74" s="1" t="s">
        <v>93</v>
      </c>
      <c r="H74" s="1" t="s">
        <v>1414</v>
      </c>
      <c r="I74" s="1" t="s">
        <v>1454</v>
      </c>
      <c r="J74" s="1" t="s">
        <v>1455</v>
      </c>
      <c r="K74" s="1" t="e">
        <f>VLOOKUP(J74,'IU Major Match'!$D$2:$E$65,2,FALSE)</f>
        <v>#N/A</v>
      </c>
      <c r="L74" s="1">
        <v>9613063690</v>
      </c>
      <c r="M74" s="1" t="s">
        <v>113</v>
      </c>
      <c r="N74" s="1">
        <v>39</v>
      </c>
      <c r="O74" s="1">
        <v>30</v>
      </c>
      <c r="P74" s="1">
        <v>9</v>
      </c>
      <c r="Q74" s="1">
        <v>0</v>
      </c>
      <c r="R74" s="5">
        <f t="shared" si="4"/>
        <v>1</v>
      </c>
      <c r="S74" s="13" t="str">
        <f t="shared" si="5"/>
        <v>&gt;50</v>
      </c>
      <c r="T74" s="14">
        <f t="shared" si="6"/>
        <v>0</v>
      </c>
      <c r="U74" s="14">
        <f t="shared" si="7"/>
        <v>0</v>
      </c>
    </row>
    <row r="75" spans="1:21" x14ac:dyDescent="0.25">
      <c r="A75" s="1">
        <v>62230261</v>
      </c>
      <c r="B75" s="1">
        <v>191813</v>
      </c>
      <c r="C75" s="1" t="s">
        <v>43</v>
      </c>
      <c r="D75" s="1" t="s">
        <v>389</v>
      </c>
      <c r="E75" s="1" t="s">
        <v>73</v>
      </c>
      <c r="F75" s="1" t="s">
        <v>76</v>
      </c>
      <c r="G75" s="1" t="s">
        <v>18</v>
      </c>
      <c r="H75" s="1" t="s">
        <v>19</v>
      </c>
      <c r="I75" s="1" t="s">
        <v>302</v>
      </c>
      <c r="J75" s="1" t="s">
        <v>303</v>
      </c>
      <c r="K75" s="1" t="str">
        <f>VLOOKUP(J75,'IU Major Match'!$D$2:$E$65,2,FALSE)</f>
        <v>Can be Transferred to Bachelor of Engineering</v>
      </c>
      <c r="L75" s="1">
        <v>96181943919</v>
      </c>
      <c r="M75" s="1" t="s">
        <v>153</v>
      </c>
      <c r="N75" s="1">
        <v>108</v>
      </c>
      <c r="O75" s="1">
        <v>87</v>
      </c>
      <c r="P75" s="1">
        <v>15</v>
      </c>
      <c r="Q75" s="1">
        <v>6</v>
      </c>
      <c r="R75" s="5">
        <f t="shared" si="4"/>
        <v>0.94444444444444442</v>
      </c>
      <c r="S75" s="13" t="str">
        <f t="shared" si="5"/>
        <v>&gt;50</v>
      </c>
      <c r="T75" s="14">
        <f t="shared" si="6"/>
        <v>1</v>
      </c>
      <c r="U75" s="14">
        <f t="shared" si="7"/>
        <v>0.5</v>
      </c>
    </row>
    <row r="76" spans="1:21" x14ac:dyDescent="0.25">
      <c r="A76" s="1">
        <v>62130161</v>
      </c>
      <c r="B76" s="1">
        <v>173660</v>
      </c>
      <c r="C76" s="1" t="s">
        <v>285</v>
      </c>
      <c r="D76" s="1" t="s">
        <v>1499</v>
      </c>
      <c r="E76" s="1" t="s">
        <v>47</v>
      </c>
      <c r="F76" s="1" t="s">
        <v>76</v>
      </c>
      <c r="G76" s="1" t="s">
        <v>18</v>
      </c>
      <c r="H76" s="1" t="s">
        <v>19</v>
      </c>
      <c r="I76" s="1" t="s">
        <v>302</v>
      </c>
      <c r="J76" s="1" t="s">
        <v>303</v>
      </c>
      <c r="K76" s="1" t="str">
        <f>VLOOKUP(J76,'IU Major Match'!$D$2:$E$65,2,FALSE)</f>
        <v>Can be Transferred to Bachelor of Engineering</v>
      </c>
      <c r="L76" s="1">
        <v>96171124028</v>
      </c>
      <c r="M76" s="1" t="s">
        <v>79</v>
      </c>
      <c r="N76" s="1">
        <v>108</v>
      </c>
      <c r="O76" s="1">
        <v>48</v>
      </c>
      <c r="P76" s="1">
        <v>12</v>
      </c>
      <c r="Q76" s="1">
        <v>48</v>
      </c>
      <c r="R76" s="5">
        <f t="shared" si="4"/>
        <v>0.55555555555555558</v>
      </c>
      <c r="S76" s="13" t="str">
        <f t="shared" si="5"/>
        <v>&gt;50</v>
      </c>
      <c r="T76" s="14">
        <f t="shared" si="6"/>
        <v>4</v>
      </c>
      <c r="U76" s="14">
        <f t="shared" si="7"/>
        <v>2</v>
      </c>
    </row>
    <row r="77" spans="1:21" x14ac:dyDescent="0.25">
      <c r="A77" s="1">
        <v>62230388</v>
      </c>
      <c r="B77" s="1">
        <v>193854</v>
      </c>
      <c r="C77" s="1" t="s">
        <v>1500</v>
      </c>
      <c r="D77" s="1" t="s">
        <v>58</v>
      </c>
      <c r="E77" s="1" t="s">
        <v>610</v>
      </c>
      <c r="F77" s="1" t="s">
        <v>76</v>
      </c>
      <c r="G77" s="1" t="s">
        <v>23</v>
      </c>
      <c r="H77" s="1" t="s">
        <v>19</v>
      </c>
      <c r="I77" s="1" t="s">
        <v>151</v>
      </c>
      <c r="J77" s="1" t="s">
        <v>152</v>
      </c>
      <c r="K77" s="1" t="str">
        <f>VLOOKUP(J77,'IU Major Match'!$D$2:$E$65,2,FALSE)</f>
        <v>Major Dont exists in IU</v>
      </c>
      <c r="L77" s="1">
        <v>96171287549</v>
      </c>
      <c r="M77" s="1" t="s">
        <v>153</v>
      </c>
      <c r="N77" s="1">
        <v>105</v>
      </c>
      <c r="O77" s="1">
        <v>88</v>
      </c>
      <c r="P77" s="1">
        <v>14</v>
      </c>
      <c r="Q77" s="1">
        <v>3</v>
      </c>
      <c r="R77" s="5">
        <f t="shared" si="4"/>
        <v>0.97142857142857142</v>
      </c>
      <c r="S77" s="13" t="str">
        <f t="shared" si="5"/>
        <v>&gt;50</v>
      </c>
      <c r="T77" s="14">
        <f t="shared" si="6"/>
        <v>1</v>
      </c>
      <c r="U77" s="14">
        <f t="shared" si="7"/>
        <v>0.5</v>
      </c>
    </row>
    <row r="78" spans="1:21" x14ac:dyDescent="0.25">
      <c r="A78" s="1">
        <v>61830258</v>
      </c>
      <c r="B78" s="1">
        <v>213874</v>
      </c>
      <c r="C78" s="1" t="s">
        <v>697</v>
      </c>
      <c r="D78" s="1" t="s">
        <v>509</v>
      </c>
      <c r="E78" s="1" t="s">
        <v>1501</v>
      </c>
      <c r="F78" s="1" t="s">
        <v>76</v>
      </c>
      <c r="G78" s="1" t="s">
        <v>18</v>
      </c>
      <c r="H78" s="1" t="s">
        <v>1414</v>
      </c>
      <c r="I78" s="1" t="s">
        <v>1415</v>
      </c>
      <c r="J78" s="1" t="s">
        <v>1416</v>
      </c>
      <c r="K78" s="1" t="e">
        <f>VLOOKUP(J78,'IU Major Match'!$D$2:$E$65,2,FALSE)</f>
        <v>#N/A</v>
      </c>
      <c r="L78" s="1">
        <v>76387092</v>
      </c>
      <c r="M78" s="1" t="s">
        <v>113</v>
      </c>
      <c r="N78" s="1">
        <v>52</v>
      </c>
      <c r="O78" s="1">
        <v>39</v>
      </c>
      <c r="P78" s="1">
        <v>13</v>
      </c>
      <c r="Q78" s="1">
        <v>0</v>
      </c>
      <c r="R78" s="5">
        <f t="shared" si="4"/>
        <v>1</v>
      </c>
      <c r="S78" s="13" t="str">
        <f t="shared" si="5"/>
        <v>&gt;50</v>
      </c>
      <c r="T78" s="14">
        <f t="shared" si="6"/>
        <v>0</v>
      </c>
      <c r="U78" s="14">
        <f t="shared" si="7"/>
        <v>0</v>
      </c>
    </row>
    <row r="79" spans="1:21" x14ac:dyDescent="0.25">
      <c r="A79" s="1">
        <v>62330230</v>
      </c>
      <c r="B79" s="1">
        <v>202708</v>
      </c>
      <c r="C79" s="1" t="s">
        <v>697</v>
      </c>
      <c r="D79" s="1" t="s">
        <v>67</v>
      </c>
      <c r="E79" s="1" t="s">
        <v>1502</v>
      </c>
      <c r="F79" s="1" t="s">
        <v>76</v>
      </c>
      <c r="G79" s="1" t="s">
        <v>18</v>
      </c>
      <c r="H79" s="1" t="s">
        <v>19</v>
      </c>
      <c r="I79" s="1" t="s">
        <v>739</v>
      </c>
      <c r="J79" s="1" t="s">
        <v>740</v>
      </c>
      <c r="K79" s="1" t="str">
        <f>VLOOKUP(J79,'IU Major Match'!$D$2:$E$65,2,FALSE)</f>
        <v>Can be Transferred to Bachelor of Engineering</v>
      </c>
      <c r="L79" s="1">
        <v>96171152436</v>
      </c>
      <c r="M79" s="1" t="s">
        <v>90</v>
      </c>
      <c r="N79" s="1">
        <v>108</v>
      </c>
      <c r="O79" s="1">
        <v>62</v>
      </c>
      <c r="P79" s="1">
        <v>13</v>
      </c>
      <c r="Q79" s="1">
        <v>33</v>
      </c>
      <c r="R79" s="5">
        <f t="shared" si="4"/>
        <v>0.69444444444444442</v>
      </c>
      <c r="S79" s="13" t="str">
        <f t="shared" si="5"/>
        <v>&gt;50</v>
      </c>
      <c r="T79" s="14">
        <f t="shared" si="6"/>
        <v>3</v>
      </c>
      <c r="U79" s="14">
        <f t="shared" si="7"/>
        <v>1.5</v>
      </c>
    </row>
    <row r="80" spans="1:21" x14ac:dyDescent="0.25">
      <c r="A80" s="1">
        <v>62330156</v>
      </c>
      <c r="B80" s="1">
        <v>200539</v>
      </c>
      <c r="C80" s="1" t="s">
        <v>1503</v>
      </c>
      <c r="D80" s="1" t="s">
        <v>285</v>
      </c>
      <c r="E80" s="1" t="s">
        <v>852</v>
      </c>
      <c r="F80" s="1" t="s">
        <v>76</v>
      </c>
      <c r="G80" s="1" t="s">
        <v>23</v>
      </c>
      <c r="H80" s="1" t="s">
        <v>19</v>
      </c>
      <c r="I80" s="1" t="s">
        <v>761</v>
      </c>
      <c r="J80" s="1" t="s">
        <v>762</v>
      </c>
      <c r="K80" s="1" t="str">
        <f>VLOOKUP(J80,'IU Major Match'!$D$2:$E$65,2,FALSE)</f>
        <v>Major Dont exists in IU</v>
      </c>
      <c r="L80" s="1">
        <v>96171466687</v>
      </c>
      <c r="M80" s="1" t="s">
        <v>90</v>
      </c>
      <c r="N80" s="1">
        <v>99</v>
      </c>
      <c r="O80" s="1">
        <v>88</v>
      </c>
      <c r="P80" s="1">
        <v>11</v>
      </c>
      <c r="Q80" s="1">
        <v>0</v>
      </c>
      <c r="R80" s="5">
        <f t="shared" si="4"/>
        <v>1</v>
      </c>
      <c r="S80" s="13" t="str">
        <f t="shared" si="5"/>
        <v>&gt;50</v>
      </c>
      <c r="T80" s="14">
        <f t="shared" si="6"/>
        <v>0</v>
      </c>
      <c r="U80" s="14">
        <f t="shared" si="7"/>
        <v>0</v>
      </c>
    </row>
    <row r="81" spans="1:21" x14ac:dyDescent="0.25">
      <c r="A81" s="1">
        <v>62330092</v>
      </c>
      <c r="B81" s="1">
        <v>201957</v>
      </c>
      <c r="C81" s="1" t="s">
        <v>702</v>
      </c>
      <c r="D81" s="1" t="s">
        <v>42</v>
      </c>
      <c r="E81" s="1" t="s">
        <v>1504</v>
      </c>
      <c r="F81" s="1" t="s">
        <v>76</v>
      </c>
      <c r="G81" s="1" t="s">
        <v>200</v>
      </c>
      <c r="H81" s="1" t="s">
        <v>19</v>
      </c>
      <c r="I81" s="1" t="s">
        <v>201</v>
      </c>
      <c r="J81" s="1" t="s">
        <v>202</v>
      </c>
      <c r="K81" s="1" t="str">
        <f>VLOOKUP(J81,'IU Major Match'!$D$2:$E$65,2,FALSE)</f>
        <v>Major Dont exists in IU</v>
      </c>
      <c r="L81" s="1">
        <v>71098031</v>
      </c>
      <c r="M81" s="1" t="s">
        <v>90</v>
      </c>
      <c r="N81" s="1">
        <v>65</v>
      </c>
      <c r="O81" s="1">
        <v>54</v>
      </c>
      <c r="P81" s="1">
        <v>11</v>
      </c>
      <c r="Q81" s="1">
        <v>0</v>
      </c>
      <c r="R81" s="5">
        <f t="shared" si="4"/>
        <v>1</v>
      </c>
      <c r="S81" s="13" t="str">
        <f t="shared" si="5"/>
        <v>&gt;50</v>
      </c>
      <c r="T81" s="14">
        <f t="shared" si="6"/>
        <v>0</v>
      </c>
      <c r="U81" s="14">
        <f t="shared" si="7"/>
        <v>0</v>
      </c>
    </row>
    <row r="82" spans="1:21" x14ac:dyDescent="0.25">
      <c r="A82" s="1">
        <v>62430009</v>
      </c>
      <c r="B82" s="1">
        <v>213537</v>
      </c>
      <c r="C82" s="1" t="s">
        <v>702</v>
      </c>
      <c r="D82" s="1" t="s">
        <v>569</v>
      </c>
      <c r="E82" s="1" t="s">
        <v>1505</v>
      </c>
      <c r="F82" s="1" t="s">
        <v>76</v>
      </c>
      <c r="G82" s="1" t="s">
        <v>200</v>
      </c>
      <c r="H82" s="1" t="s">
        <v>19</v>
      </c>
      <c r="I82" s="1" t="s">
        <v>201</v>
      </c>
      <c r="J82" s="1" t="s">
        <v>202</v>
      </c>
      <c r="K82" s="1" t="str">
        <f>VLOOKUP(J82,'IU Major Match'!$D$2:$E$65,2,FALSE)</f>
        <v>Major Dont exists in IU</v>
      </c>
      <c r="L82" s="1">
        <v>96170861915</v>
      </c>
      <c r="M82" s="1" t="s">
        <v>113</v>
      </c>
      <c r="N82" s="1">
        <v>65</v>
      </c>
      <c r="O82" s="1">
        <v>50</v>
      </c>
      <c r="P82" s="1">
        <v>11</v>
      </c>
      <c r="Q82" s="1">
        <v>4</v>
      </c>
      <c r="R82" s="5">
        <f t="shared" si="4"/>
        <v>0.93846153846153846</v>
      </c>
      <c r="S82" s="13" t="str">
        <f t="shared" si="5"/>
        <v>&gt;50</v>
      </c>
      <c r="T82" s="14">
        <f t="shared" si="6"/>
        <v>1</v>
      </c>
      <c r="U82" s="14">
        <f t="shared" si="7"/>
        <v>0.5</v>
      </c>
    </row>
    <row r="83" spans="1:21" x14ac:dyDescent="0.25">
      <c r="A83" s="1">
        <v>62130084</v>
      </c>
      <c r="B83" s="1">
        <v>213808</v>
      </c>
      <c r="C83" s="1" t="s">
        <v>704</v>
      </c>
      <c r="D83" s="1" t="s">
        <v>35</v>
      </c>
      <c r="E83" s="1" t="s">
        <v>1209</v>
      </c>
      <c r="F83" s="1" t="s">
        <v>76</v>
      </c>
      <c r="G83" s="1" t="s">
        <v>18</v>
      </c>
      <c r="H83" s="1" t="s">
        <v>1414</v>
      </c>
      <c r="I83" s="1" t="s">
        <v>1421</v>
      </c>
      <c r="J83" s="1" t="s">
        <v>1422</v>
      </c>
      <c r="K83" s="1" t="e">
        <f>VLOOKUP(J83,'IU Major Match'!$D$2:$E$65,2,FALSE)</f>
        <v>#N/A</v>
      </c>
      <c r="L83" s="1">
        <v>96178872294</v>
      </c>
      <c r="M83" s="1" t="s">
        <v>113</v>
      </c>
      <c r="N83" s="1">
        <v>52</v>
      </c>
      <c r="O83" s="1">
        <v>37</v>
      </c>
      <c r="P83" s="1">
        <v>12</v>
      </c>
      <c r="Q83" s="1">
        <v>3</v>
      </c>
      <c r="R83" s="5">
        <f t="shared" si="4"/>
        <v>0.94230769230769229</v>
      </c>
      <c r="S83" s="13" t="str">
        <f t="shared" si="5"/>
        <v>&gt;50</v>
      </c>
      <c r="T83" s="14">
        <f t="shared" si="6"/>
        <v>1</v>
      </c>
      <c r="U83" s="14">
        <f t="shared" si="7"/>
        <v>0.5</v>
      </c>
    </row>
    <row r="84" spans="1:21" x14ac:dyDescent="0.25">
      <c r="A84" s="1">
        <v>61730132</v>
      </c>
      <c r="B84" s="1">
        <v>227356</v>
      </c>
      <c r="C84" s="1" t="s">
        <v>1506</v>
      </c>
      <c r="D84" s="1" t="s">
        <v>316</v>
      </c>
      <c r="E84" s="1" t="s">
        <v>1099</v>
      </c>
      <c r="F84" s="1" t="s">
        <v>76</v>
      </c>
      <c r="G84" s="1" t="s">
        <v>18</v>
      </c>
      <c r="H84" s="1" t="s">
        <v>1414</v>
      </c>
      <c r="I84" s="1" t="s">
        <v>1415</v>
      </c>
      <c r="J84" s="1" t="s">
        <v>1416</v>
      </c>
      <c r="K84" s="1" t="e">
        <f>VLOOKUP(J84,'IU Major Match'!$D$2:$E$65,2,FALSE)</f>
        <v>#N/A</v>
      </c>
      <c r="L84" s="1">
        <v>96171802463</v>
      </c>
      <c r="M84" s="1" t="s">
        <v>84</v>
      </c>
      <c r="N84" s="1">
        <v>52</v>
      </c>
      <c r="O84" s="1">
        <v>0</v>
      </c>
      <c r="P84" s="1">
        <v>4</v>
      </c>
      <c r="Q84" s="1">
        <v>48</v>
      </c>
      <c r="R84" s="5">
        <f t="shared" si="4"/>
        <v>7.6923076923076927E-2</v>
      </c>
      <c r="S84" s="13" t="str">
        <f t="shared" si="5"/>
        <v>=&lt;50</v>
      </c>
      <c r="T84" s="14">
        <f t="shared" si="6"/>
        <v>4</v>
      </c>
      <c r="U84" s="14">
        <f t="shared" si="7"/>
        <v>2</v>
      </c>
    </row>
    <row r="85" spans="1:21" x14ac:dyDescent="0.25">
      <c r="A85" s="1">
        <v>62310023</v>
      </c>
      <c r="B85" s="1">
        <v>197175</v>
      </c>
      <c r="C85" s="1" t="s">
        <v>1507</v>
      </c>
      <c r="D85" s="1" t="s">
        <v>501</v>
      </c>
      <c r="E85" s="1" t="s">
        <v>65</v>
      </c>
      <c r="F85" s="1" t="s">
        <v>76</v>
      </c>
      <c r="G85" s="1" t="s">
        <v>23</v>
      </c>
      <c r="H85" s="1" t="s">
        <v>19</v>
      </c>
      <c r="I85" s="1" t="s">
        <v>761</v>
      </c>
      <c r="J85" s="1" t="s">
        <v>762</v>
      </c>
      <c r="K85" s="1" t="str">
        <f>VLOOKUP(J85,'IU Major Match'!$D$2:$E$65,2,FALSE)</f>
        <v>Major Dont exists in IU</v>
      </c>
      <c r="L85" s="1">
        <v>76140417</v>
      </c>
      <c r="M85" s="1" t="s">
        <v>178</v>
      </c>
      <c r="N85" s="1">
        <v>99</v>
      </c>
      <c r="O85" s="1">
        <v>95</v>
      </c>
      <c r="P85" s="1">
        <v>4</v>
      </c>
      <c r="Q85" s="1">
        <v>0</v>
      </c>
      <c r="R85" s="5">
        <f t="shared" si="4"/>
        <v>1</v>
      </c>
      <c r="S85" s="13" t="str">
        <f t="shared" si="5"/>
        <v>&gt;50</v>
      </c>
      <c r="T85" s="14">
        <f t="shared" si="6"/>
        <v>0</v>
      </c>
      <c r="U85" s="14">
        <f t="shared" si="7"/>
        <v>0</v>
      </c>
    </row>
    <row r="86" spans="1:21" x14ac:dyDescent="0.25">
      <c r="A86" s="1">
        <v>62030086</v>
      </c>
      <c r="B86" s="1">
        <v>226269</v>
      </c>
      <c r="C86" s="1" t="s">
        <v>712</v>
      </c>
      <c r="D86" s="1" t="s">
        <v>425</v>
      </c>
      <c r="E86" s="1" t="s">
        <v>1015</v>
      </c>
      <c r="F86" s="1" t="s">
        <v>76</v>
      </c>
      <c r="G86" s="1" t="s">
        <v>18</v>
      </c>
      <c r="H86" s="1" t="s">
        <v>1414</v>
      </c>
      <c r="I86" s="1" t="s">
        <v>1415</v>
      </c>
      <c r="J86" s="1" t="s">
        <v>1416</v>
      </c>
      <c r="K86" s="1" t="e">
        <f>VLOOKUP(J86,'IU Major Match'!$D$2:$E$65,2,FALSE)</f>
        <v>#N/A</v>
      </c>
      <c r="L86" s="1">
        <v>96176005054</v>
      </c>
      <c r="M86" s="1" t="s">
        <v>99</v>
      </c>
      <c r="N86" s="1">
        <v>52</v>
      </c>
      <c r="O86" s="1">
        <v>10</v>
      </c>
      <c r="P86" s="1">
        <v>13</v>
      </c>
      <c r="Q86" s="1">
        <v>29</v>
      </c>
      <c r="R86" s="5">
        <f t="shared" si="4"/>
        <v>0.44230769230769229</v>
      </c>
      <c r="S86" s="13" t="str">
        <f t="shared" si="5"/>
        <v>=&lt;50</v>
      </c>
      <c r="T86" s="14">
        <f t="shared" si="6"/>
        <v>2</v>
      </c>
      <c r="U86" s="14">
        <f t="shared" si="7"/>
        <v>1</v>
      </c>
    </row>
    <row r="87" spans="1:21" x14ac:dyDescent="0.25">
      <c r="A87" s="1">
        <v>61930310</v>
      </c>
      <c r="B87" s="1">
        <v>190882</v>
      </c>
      <c r="C87" s="1" t="s">
        <v>712</v>
      </c>
      <c r="D87" s="1" t="s">
        <v>771</v>
      </c>
      <c r="E87" s="1" t="s">
        <v>413</v>
      </c>
      <c r="F87" s="1" t="s">
        <v>76</v>
      </c>
      <c r="G87" s="1" t="s">
        <v>18</v>
      </c>
      <c r="H87" s="1" t="s">
        <v>1414</v>
      </c>
      <c r="I87" s="1" t="s">
        <v>1419</v>
      </c>
      <c r="J87" s="1" t="s">
        <v>1420</v>
      </c>
      <c r="K87" s="1" t="e">
        <f>VLOOKUP(J87,'IU Major Match'!$D$2:$E$65,2,FALSE)</f>
        <v>#N/A</v>
      </c>
      <c r="L87" s="1">
        <v>96171300585</v>
      </c>
      <c r="M87" s="1" t="s">
        <v>153</v>
      </c>
      <c r="N87" s="1">
        <v>52</v>
      </c>
      <c r="O87" s="1">
        <v>45</v>
      </c>
      <c r="P87" s="1">
        <v>6</v>
      </c>
      <c r="Q87" s="1">
        <v>7</v>
      </c>
      <c r="R87" s="5">
        <f t="shared" si="4"/>
        <v>0.98076923076923073</v>
      </c>
      <c r="S87" s="13" t="str">
        <f t="shared" si="5"/>
        <v>&gt;50</v>
      </c>
      <c r="T87" s="14">
        <f t="shared" si="6"/>
        <v>1</v>
      </c>
      <c r="U87" s="14">
        <f t="shared" si="7"/>
        <v>0.5</v>
      </c>
    </row>
    <row r="88" spans="1:21" x14ac:dyDescent="0.25">
      <c r="A88" s="1">
        <v>62230417</v>
      </c>
      <c r="B88" s="1">
        <v>197247</v>
      </c>
      <c r="C88" s="1" t="s">
        <v>712</v>
      </c>
      <c r="D88" s="1" t="s">
        <v>447</v>
      </c>
      <c r="E88" s="1" t="s">
        <v>956</v>
      </c>
      <c r="F88" s="1" t="s">
        <v>76</v>
      </c>
      <c r="G88" s="1" t="s">
        <v>18</v>
      </c>
      <c r="H88" s="1" t="s">
        <v>19</v>
      </c>
      <c r="I88" s="1" t="s">
        <v>146</v>
      </c>
      <c r="J88" s="1" t="s">
        <v>147</v>
      </c>
      <c r="K88" s="1" t="str">
        <f>VLOOKUP(J88,'IU Major Match'!$D$2:$E$65,2,FALSE)</f>
        <v>Can be Transferred to Bachelor of Engineering</v>
      </c>
      <c r="L88" s="1">
        <v>70524367</v>
      </c>
      <c r="M88" s="1" t="s">
        <v>153</v>
      </c>
      <c r="N88" s="1">
        <v>108</v>
      </c>
      <c r="O88" s="1">
        <v>65</v>
      </c>
      <c r="P88" s="1">
        <v>7</v>
      </c>
      <c r="Q88" s="1">
        <v>36</v>
      </c>
      <c r="R88" s="5">
        <f t="shared" si="4"/>
        <v>0.66666666666666663</v>
      </c>
      <c r="S88" s="13" t="str">
        <f t="shared" si="5"/>
        <v>&gt;50</v>
      </c>
      <c r="T88" s="14">
        <f t="shared" si="6"/>
        <v>3</v>
      </c>
      <c r="U88" s="14">
        <f t="shared" si="7"/>
        <v>1.5</v>
      </c>
    </row>
    <row r="89" spans="1:21" x14ac:dyDescent="0.25">
      <c r="A89" s="1">
        <v>62030260</v>
      </c>
      <c r="B89" s="1">
        <v>208917</v>
      </c>
      <c r="C89" s="1" t="s">
        <v>721</v>
      </c>
      <c r="D89" s="1" t="s">
        <v>265</v>
      </c>
      <c r="E89" s="1" t="s">
        <v>1508</v>
      </c>
      <c r="F89" s="1" t="s">
        <v>76</v>
      </c>
      <c r="G89" s="1" t="s">
        <v>93</v>
      </c>
      <c r="H89" s="1" t="s">
        <v>1414</v>
      </c>
      <c r="I89" s="1" t="s">
        <v>1454</v>
      </c>
      <c r="J89" s="1" t="s">
        <v>1455</v>
      </c>
      <c r="K89" s="1" t="e">
        <f>VLOOKUP(J89,'IU Major Match'!$D$2:$E$65,2,FALSE)</f>
        <v>#N/A</v>
      </c>
      <c r="L89" s="1">
        <v>96170601880</v>
      </c>
      <c r="M89" s="1" t="s">
        <v>362</v>
      </c>
      <c r="N89" s="1">
        <v>39</v>
      </c>
      <c r="O89" s="1">
        <v>27</v>
      </c>
      <c r="P89" s="1">
        <v>12</v>
      </c>
      <c r="Q89" s="1">
        <v>0</v>
      </c>
      <c r="R89" s="5">
        <f t="shared" si="4"/>
        <v>1</v>
      </c>
      <c r="S89" s="13" t="str">
        <f t="shared" si="5"/>
        <v>&gt;50</v>
      </c>
      <c r="T89" s="14">
        <f t="shared" si="6"/>
        <v>0</v>
      </c>
      <c r="U89" s="14">
        <f t="shared" si="7"/>
        <v>0</v>
      </c>
    </row>
    <row r="90" spans="1:21" x14ac:dyDescent="0.25">
      <c r="A90" s="1">
        <v>62130332</v>
      </c>
      <c r="B90" s="1">
        <v>173455</v>
      </c>
      <c r="C90" s="1" t="s">
        <v>734</v>
      </c>
      <c r="D90" s="1" t="s">
        <v>853</v>
      </c>
      <c r="E90" s="1" t="s">
        <v>500</v>
      </c>
      <c r="F90" s="1" t="s">
        <v>76</v>
      </c>
      <c r="G90" s="1" t="s">
        <v>18</v>
      </c>
      <c r="H90" s="1" t="s">
        <v>19</v>
      </c>
      <c r="I90" s="1" t="s">
        <v>245</v>
      </c>
      <c r="J90" s="1" t="s">
        <v>246</v>
      </c>
      <c r="K90" s="1" t="str">
        <f>VLOOKUP(J90,'IU Major Match'!$D$2:$E$65,2,FALSE)</f>
        <v>Major Dont exists in IU</v>
      </c>
      <c r="L90" s="1">
        <v>96176016030</v>
      </c>
      <c r="M90" s="1" t="s">
        <v>79</v>
      </c>
      <c r="N90" s="1">
        <v>114</v>
      </c>
      <c r="O90" s="1">
        <v>101</v>
      </c>
      <c r="P90" s="1">
        <v>4</v>
      </c>
      <c r="Q90" s="1">
        <v>3</v>
      </c>
      <c r="R90" s="5">
        <f t="shared" si="4"/>
        <v>0.92105263157894735</v>
      </c>
      <c r="S90" s="13" t="str">
        <f t="shared" si="5"/>
        <v>&gt;50</v>
      </c>
      <c r="T90" s="14">
        <f t="shared" si="6"/>
        <v>1</v>
      </c>
      <c r="U90" s="14">
        <f t="shared" si="7"/>
        <v>0.5</v>
      </c>
    </row>
    <row r="91" spans="1:21" x14ac:dyDescent="0.25">
      <c r="A91" s="1">
        <v>61730251</v>
      </c>
      <c r="B91" s="1">
        <v>208302</v>
      </c>
      <c r="C91" s="1" t="s">
        <v>734</v>
      </c>
      <c r="D91" s="1" t="s">
        <v>513</v>
      </c>
      <c r="E91" s="1" t="s">
        <v>938</v>
      </c>
      <c r="F91" s="1" t="s">
        <v>76</v>
      </c>
      <c r="G91" s="1" t="s">
        <v>18</v>
      </c>
      <c r="H91" s="1" t="s">
        <v>1414</v>
      </c>
      <c r="I91" s="1" t="s">
        <v>1415</v>
      </c>
      <c r="J91" s="1" t="s">
        <v>1416</v>
      </c>
      <c r="K91" s="1" t="e">
        <f>VLOOKUP(J91,'IU Major Match'!$D$2:$E$65,2,FALSE)</f>
        <v>#N/A</v>
      </c>
      <c r="L91" s="1">
        <v>76341401</v>
      </c>
      <c r="M91" s="1" t="s">
        <v>362</v>
      </c>
      <c r="N91" s="1">
        <v>52</v>
      </c>
      <c r="O91" s="1">
        <v>36</v>
      </c>
      <c r="P91" s="1">
        <v>13</v>
      </c>
      <c r="Q91" s="1">
        <v>3</v>
      </c>
      <c r="R91" s="5">
        <f t="shared" si="4"/>
        <v>0.94230769230769229</v>
      </c>
      <c r="S91" s="13" t="str">
        <f t="shared" si="5"/>
        <v>&gt;50</v>
      </c>
      <c r="T91" s="14">
        <f t="shared" si="6"/>
        <v>1</v>
      </c>
      <c r="U91" s="14">
        <f t="shared" si="7"/>
        <v>0.5</v>
      </c>
    </row>
    <row r="92" spans="1:21" x14ac:dyDescent="0.25">
      <c r="A92" s="1">
        <v>62530117</v>
      </c>
      <c r="B92" s="1">
        <v>221033</v>
      </c>
      <c r="C92" s="1" t="s">
        <v>261</v>
      </c>
      <c r="D92" s="1" t="s">
        <v>1509</v>
      </c>
      <c r="E92" s="1" t="s">
        <v>1510</v>
      </c>
      <c r="F92" s="1" t="s">
        <v>76</v>
      </c>
      <c r="G92" s="1" t="s">
        <v>68</v>
      </c>
      <c r="H92" s="1" t="s">
        <v>1414</v>
      </c>
      <c r="I92" s="1" t="s">
        <v>1511</v>
      </c>
      <c r="J92" s="1" t="s">
        <v>1512</v>
      </c>
      <c r="K92" s="1" t="e">
        <f>VLOOKUP(J92,'IU Major Match'!$D$2:$E$65,2,FALSE)</f>
        <v>#N/A</v>
      </c>
      <c r="L92" s="1">
        <v>96178850987</v>
      </c>
      <c r="M92" s="1" t="s">
        <v>99</v>
      </c>
      <c r="N92" s="1">
        <v>28</v>
      </c>
      <c r="O92" s="1">
        <v>6</v>
      </c>
      <c r="P92" s="1">
        <v>9</v>
      </c>
      <c r="Q92" s="1">
        <v>13</v>
      </c>
      <c r="R92" s="5">
        <f t="shared" si="4"/>
        <v>0.5357142857142857</v>
      </c>
      <c r="S92" s="13" t="str">
        <f t="shared" si="5"/>
        <v>&gt;50</v>
      </c>
      <c r="T92" s="14">
        <f t="shared" si="6"/>
        <v>1</v>
      </c>
      <c r="U92" s="14">
        <f t="shared" si="7"/>
        <v>0.5</v>
      </c>
    </row>
    <row r="93" spans="1:21" x14ac:dyDescent="0.25">
      <c r="A93" s="1">
        <v>62130235</v>
      </c>
      <c r="B93" s="1">
        <v>171610</v>
      </c>
      <c r="C93" s="1" t="s">
        <v>50</v>
      </c>
      <c r="D93" s="1" t="s">
        <v>1513</v>
      </c>
      <c r="E93" s="1" t="s">
        <v>464</v>
      </c>
      <c r="F93" s="1" t="s">
        <v>76</v>
      </c>
      <c r="G93" s="1" t="s">
        <v>23</v>
      </c>
      <c r="H93" s="1" t="s">
        <v>19</v>
      </c>
      <c r="I93" s="1" t="s">
        <v>1142</v>
      </c>
      <c r="J93" s="1" t="s">
        <v>1143</v>
      </c>
      <c r="K93" s="1" t="str">
        <f>VLOOKUP(J93,'IU Major Match'!$D$2:$E$65,2,FALSE)</f>
        <v xml:space="preserve">Major exists in IU </v>
      </c>
      <c r="L93" s="1">
        <v>96170097821</v>
      </c>
      <c r="M93" s="1" t="s">
        <v>79</v>
      </c>
      <c r="N93" s="1">
        <v>100</v>
      </c>
      <c r="O93" s="1">
        <v>63</v>
      </c>
      <c r="P93" s="1">
        <v>12</v>
      </c>
      <c r="Q93" s="1">
        <v>25</v>
      </c>
      <c r="R93" s="5">
        <f t="shared" si="4"/>
        <v>0.75</v>
      </c>
      <c r="S93" s="13" t="str">
        <f t="shared" si="5"/>
        <v>&gt;50</v>
      </c>
      <c r="T93" s="14">
        <f t="shared" si="6"/>
        <v>2</v>
      </c>
      <c r="U93" s="14">
        <f t="shared" si="7"/>
        <v>1</v>
      </c>
    </row>
    <row r="94" spans="1:21" x14ac:dyDescent="0.25">
      <c r="A94" s="1">
        <v>62030016</v>
      </c>
      <c r="B94" s="1">
        <v>213030</v>
      </c>
      <c r="C94" s="1" t="s">
        <v>1514</v>
      </c>
      <c r="D94" s="1" t="s">
        <v>367</v>
      </c>
      <c r="E94" s="1" t="s">
        <v>751</v>
      </c>
      <c r="F94" s="1" t="s">
        <v>76</v>
      </c>
      <c r="G94" s="1" t="s">
        <v>18</v>
      </c>
      <c r="H94" s="1" t="s">
        <v>1414</v>
      </c>
      <c r="I94" s="1" t="s">
        <v>1515</v>
      </c>
      <c r="J94" s="1" t="s">
        <v>1516</v>
      </c>
      <c r="K94" s="1" t="e">
        <f>VLOOKUP(J94,'IU Major Match'!$D$2:$E$65,2,FALSE)</f>
        <v>#N/A</v>
      </c>
      <c r="L94" s="1">
        <v>96176037464</v>
      </c>
      <c r="M94" s="1" t="s">
        <v>113</v>
      </c>
      <c r="N94" s="1">
        <v>52</v>
      </c>
      <c r="O94" s="1">
        <v>39</v>
      </c>
      <c r="P94" s="1">
        <v>10</v>
      </c>
      <c r="Q94" s="1">
        <v>3</v>
      </c>
      <c r="R94" s="5">
        <f t="shared" si="4"/>
        <v>0.94230769230769229</v>
      </c>
      <c r="S94" s="13" t="str">
        <f t="shared" si="5"/>
        <v>&gt;50</v>
      </c>
      <c r="T94" s="14">
        <f t="shared" si="6"/>
        <v>1</v>
      </c>
      <c r="U94" s="14">
        <f t="shared" si="7"/>
        <v>0.5</v>
      </c>
    </row>
    <row r="95" spans="1:21" x14ac:dyDescent="0.25">
      <c r="A95" s="1">
        <v>62430153</v>
      </c>
      <c r="B95" s="1">
        <v>211521</v>
      </c>
      <c r="C95" s="1" t="s">
        <v>826</v>
      </c>
      <c r="D95" s="1" t="s">
        <v>493</v>
      </c>
      <c r="E95" s="1" t="s">
        <v>399</v>
      </c>
      <c r="F95" s="1" t="s">
        <v>76</v>
      </c>
      <c r="G95" s="1" t="s">
        <v>18</v>
      </c>
      <c r="H95" s="1" t="s">
        <v>19</v>
      </c>
      <c r="I95" s="1" t="s">
        <v>82</v>
      </c>
      <c r="J95" s="1" t="s">
        <v>83</v>
      </c>
      <c r="K95" s="1" t="str">
        <f>VLOOKUP(J95,'IU Major Match'!$D$2:$E$65,2,FALSE)</f>
        <v>Can be Transferred to Bachelor of Engineering</v>
      </c>
      <c r="L95" s="1">
        <v>81385459</v>
      </c>
      <c r="M95" s="1" t="s">
        <v>113</v>
      </c>
      <c r="N95" s="1">
        <v>108</v>
      </c>
      <c r="O95" s="1">
        <v>37</v>
      </c>
      <c r="P95" s="1">
        <v>15</v>
      </c>
      <c r="Q95" s="1">
        <v>56</v>
      </c>
      <c r="R95" s="5">
        <f t="shared" si="4"/>
        <v>0.48148148148148145</v>
      </c>
      <c r="S95" s="13" t="str">
        <f t="shared" si="5"/>
        <v>=&lt;50</v>
      </c>
      <c r="T95" s="14">
        <f t="shared" si="6"/>
        <v>4</v>
      </c>
      <c r="U95" s="14">
        <f t="shared" si="7"/>
        <v>2</v>
      </c>
    </row>
    <row r="96" spans="1:21" x14ac:dyDescent="0.25">
      <c r="A96" s="1">
        <v>62330352</v>
      </c>
      <c r="B96" s="1">
        <v>206849</v>
      </c>
      <c r="C96" s="1" t="s">
        <v>49</v>
      </c>
      <c r="D96" s="1" t="s">
        <v>48</v>
      </c>
      <c r="E96" s="1" t="s">
        <v>431</v>
      </c>
      <c r="F96" s="1" t="s">
        <v>76</v>
      </c>
      <c r="G96" s="1" t="s">
        <v>93</v>
      </c>
      <c r="H96" s="1" t="s">
        <v>19</v>
      </c>
      <c r="I96" s="1" t="s">
        <v>107</v>
      </c>
      <c r="J96" s="1" t="s">
        <v>108</v>
      </c>
      <c r="K96" s="1" t="str">
        <f>VLOOKUP(J96,'IU Major Match'!$D$2:$E$65,2,FALSE)</f>
        <v xml:space="preserve">Major exists in IU </v>
      </c>
      <c r="L96" s="1">
        <v>96171420555</v>
      </c>
      <c r="M96" s="1" t="s">
        <v>90</v>
      </c>
      <c r="N96" s="1">
        <v>99</v>
      </c>
      <c r="O96" s="1">
        <v>21</v>
      </c>
      <c r="P96" s="1">
        <v>12</v>
      </c>
      <c r="Q96" s="1">
        <v>66</v>
      </c>
      <c r="R96" s="5">
        <f t="shared" si="4"/>
        <v>0.33333333333333331</v>
      </c>
      <c r="S96" s="13" t="str">
        <f t="shared" si="5"/>
        <v>=&lt;50</v>
      </c>
      <c r="T96" s="14">
        <f t="shared" si="6"/>
        <v>5</v>
      </c>
      <c r="U96" s="14">
        <f t="shared" si="7"/>
        <v>2.5</v>
      </c>
    </row>
    <row r="97" spans="1:21" x14ac:dyDescent="0.25">
      <c r="A97" s="1">
        <v>62130075</v>
      </c>
      <c r="B97" s="1">
        <v>224408</v>
      </c>
      <c r="C97" s="1" t="s">
        <v>1517</v>
      </c>
      <c r="D97" s="1" t="s">
        <v>367</v>
      </c>
      <c r="E97" s="1" t="s">
        <v>511</v>
      </c>
      <c r="F97" s="1" t="s">
        <v>76</v>
      </c>
      <c r="G97" s="1" t="s">
        <v>93</v>
      </c>
      <c r="H97" s="1" t="s">
        <v>1414</v>
      </c>
      <c r="I97" s="1" t="s">
        <v>1454</v>
      </c>
      <c r="J97" s="1" t="s">
        <v>1455</v>
      </c>
      <c r="K97" s="1" t="e">
        <f>VLOOKUP(J97,'IU Major Match'!$D$2:$E$65,2,FALSE)</f>
        <v>#N/A</v>
      </c>
      <c r="L97" s="1">
        <v>96181060611</v>
      </c>
      <c r="M97" s="1" t="s">
        <v>99</v>
      </c>
      <c r="N97" s="1">
        <v>39</v>
      </c>
      <c r="O97" s="1">
        <v>9</v>
      </c>
      <c r="P97" s="1">
        <v>6</v>
      </c>
      <c r="Q97" s="1">
        <v>24</v>
      </c>
      <c r="R97" s="5">
        <f t="shared" si="4"/>
        <v>0.38461538461538464</v>
      </c>
      <c r="S97" s="13" t="str">
        <f t="shared" si="5"/>
        <v>=&lt;50</v>
      </c>
      <c r="T97" s="14">
        <f t="shared" si="6"/>
        <v>2</v>
      </c>
      <c r="U97" s="14">
        <f t="shared" si="7"/>
        <v>1</v>
      </c>
    </row>
    <row r="98" spans="1:21" x14ac:dyDescent="0.25">
      <c r="A98" s="1">
        <v>62330129</v>
      </c>
      <c r="B98" s="1">
        <v>200545</v>
      </c>
      <c r="C98" s="1" t="s">
        <v>892</v>
      </c>
      <c r="D98" s="1" t="s">
        <v>509</v>
      </c>
      <c r="E98" s="1" t="s">
        <v>464</v>
      </c>
      <c r="F98" s="1" t="s">
        <v>76</v>
      </c>
      <c r="G98" s="1" t="s">
        <v>18</v>
      </c>
      <c r="H98" s="1" t="s">
        <v>19</v>
      </c>
      <c r="I98" s="1" t="s">
        <v>739</v>
      </c>
      <c r="J98" s="1" t="s">
        <v>740</v>
      </c>
      <c r="K98" s="1" t="str">
        <f>VLOOKUP(J98,'IU Major Match'!$D$2:$E$65,2,FALSE)</f>
        <v>Can be Transferred to Bachelor of Engineering</v>
      </c>
      <c r="L98" s="1">
        <v>79105046</v>
      </c>
      <c r="M98" s="1" t="s">
        <v>90</v>
      </c>
      <c r="N98" s="1">
        <v>108</v>
      </c>
      <c r="O98" s="1">
        <v>33</v>
      </c>
      <c r="P98" s="1">
        <v>10</v>
      </c>
      <c r="Q98" s="1">
        <v>65</v>
      </c>
      <c r="R98" s="5">
        <f t="shared" si="4"/>
        <v>0.39814814814814814</v>
      </c>
      <c r="S98" s="13" t="str">
        <f t="shared" si="5"/>
        <v>=&lt;50</v>
      </c>
      <c r="T98" s="14">
        <f t="shared" si="6"/>
        <v>5</v>
      </c>
      <c r="U98" s="14">
        <f t="shared" si="7"/>
        <v>2.5</v>
      </c>
    </row>
    <row r="99" spans="1:21" x14ac:dyDescent="0.25">
      <c r="A99" s="1">
        <v>62330039</v>
      </c>
      <c r="B99" s="1">
        <v>199094</v>
      </c>
      <c r="C99" s="1" t="s">
        <v>903</v>
      </c>
      <c r="D99" s="1" t="s">
        <v>119</v>
      </c>
      <c r="E99" s="1" t="s">
        <v>938</v>
      </c>
      <c r="F99" s="1" t="s">
        <v>76</v>
      </c>
      <c r="G99" s="1" t="s">
        <v>18</v>
      </c>
      <c r="H99" s="1" t="s">
        <v>19</v>
      </c>
      <c r="I99" s="1" t="s">
        <v>82</v>
      </c>
      <c r="J99" s="1" t="s">
        <v>83</v>
      </c>
      <c r="K99" s="1" t="str">
        <f>VLOOKUP(J99,'IU Major Match'!$D$2:$E$65,2,FALSE)</f>
        <v>Can be Transferred to Bachelor of Engineering</v>
      </c>
      <c r="L99" s="1">
        <v>96176670233</v>
      </c>
      <c r="M99" s="1" t="s">
        <v>90</v>
      </c>
      <c r="N99" s="1">
        <v>108</v>
      </c>
      <c r="O99" s="1">
        <v>73</v>
      </c>
      <c r="P99" s="1">
        <v>7</v>
      </c>
      <c r="Q99" s="1">
        <v>28</v>
      </c>
      <c r="R99" s="5">
        <f t="shared" si="4"/>
        <v>0.7407407407407407</v>
      </c>
      <c r="S99" s="13" t="str">
        <f t="shared" si="5"/>
        <v>&gt;50</v>
      </c>
      <c r="T99" s="14">
        <f t="shared" si="6"/>
        <v>2</v>
      </c>
      <c r="U99" s="14">
        <f t="shared" si="7"/>
        <v>1</v>
      </c>
    </row>
    <row r="100" spans="1:21" x14ac:dyDescent="0.25">
      <c r="A100" s="1">
        <v>62330340</v>
      </c>
      <c r="B100" s="1">
        <v>206029</v>
      </c>
      <c r="C100" s="1" t="s">
        <v>1518</v>
      </c>
      <c r="D100" s="1" t="s">
        <v>59</v>
      </c>
      <c r="E100" s="1" t="s">
        <v>1519</v>
      </c>
      <c r="F100" s="1" t="s">
        <v>76</v>
      </c>
      <c r="G100" s="1" t="s">
        <v>18</v>
      </c>
      <c r="H100" s="1" t="s">
        <v>19</v>
      </c>
      <c r="I100" s="1" t="s">
        <v>302</v>
      </c>
      <c r="J100" s="1" t="s">
        <v>303</v>
      </c>
      <c r="K100" s="1" t="str">
        <f>VLOOKUP(J100,'IU Major Match'!$D$2:$E$65,2,FALSE)</f>
        <v>Can be Transferred to Bachelor of Engineering</v>
      </c>
      <c r="L100" s="1">
        <v>71969266</v>
      </c>
      <c r="M100" s="1" t="s">
        <v>90</v>
      </c>
      <c r="N100" s="1">
        <v>108</v>
      </c>
      <c r="O100" s="1">
        <v>46</v>
      </c>
      <c r="P100" s="1">
        <v>10</v>
      </c>
      <c r="Q100" s="1">
        <v>52</v>
      </c>
      <c r="R100" s="5">
        <f t="shared" si="4"/>
        <v>0.51851851851851849</v>
      </c>
      <c r="S100" s="13" t="str">
        <f t="shared" si="5"/>
        <v>&gt;50</v>
      </c>
      <c r="T100" s="14">
        <f t="shared" si="6"/>
        <v>4</v>
      </c>
      <c r="U100" s="14">
        <f t="shared" si="7"/>
        <v>2</v>
      </c>
    </row>
    <row r="101" spans="1:21" x14ac:dyDescent="0.25">
      <c r="A101" s="1">
        <v>62230430</v>
      </c>
      <c r="B101" s="1">
        <v>196701</v>
      </c>
      <c r="C101" s="1" t="s">
        <v>1520</v>
      </c>
      <c r="D101" s="1" t="s">
        <v>1521</v>
      </c>
      <c r="E101" s="1" t="s">
        <v>1522</v>
      </c>
      <c r="F101" s="1" t="s">
        <v>76</v>
      </c>
      <c r="G101" s="1" t="s">
        <v>23</v>
      </c>
      <c r="H101" s="1" t="s">
        <v>19</v>
      </c>
      <c r="I101" s="1" t="s">
        <v>151</v>
      </c>
      <c r="J101" s="1" t="s">
        <v>152</v>
      </c>
      <c r="K101" s="1" t="str">
        <f>VLOOKUP(J101,'IU Major Match'!$D$2:$E$65,2,FALSE)</f>
        <v>Major Dont exists in IU</v>
      </c>
      <c r="L101" s="1">
        <v>96178855077</v>
      </c>
      <c r="M101" s="1" t="s">
        <v>153</v>
      </c>
      <c r="N101" s="1">
        <v>105</v>
      </c>
      <c r="O101" s="1">
        <v>102</v>
      </c>
      <c r="P101" s="1">
        <v>3</v>
      </c>
      <c r="Q101" s="1">
        <v>0</v>
      </c>
      <c r="R101" s="5">
        <f t="shared" si="4"/>
        <v>1</v>
      </c>
      <c r="S101" s="13" t="str">
        <f t="shared" si="5"/>
        <v>&gt;50</v>
      </c>
      <c r="T101" s="14">
        <f t="shared" si="6"/>
        <v>0</v>
      </c>
      <c r="U101" s="14">
        <f t="shared" si="7"/>
        <v>0</v>
      </c>
    </row>
    <row r="102" spans="1:21" x14ac:dyDescent="0.25">
      <c r="A102" s="1">
        <v>62030389</v>
      </c>
      <c r="B102" s="1">
        <v>218652</v>
      </c>
      <c r="C102" s="1" t="s">
        <v>934</v>
      </c>
      <c r="D102" s="1" t="s">
        <v>59</v>
      </c>
      <c r="E102" s="1" t="s">
        <v>1523</v>
      </c>
      <c r="F102" s="1" t="s">
        <v>76</v>
      </c>
      <c r="G102" s="1" t="s">
        <v>18</v>
      </c>
      <c r="H102" s="1" t="s">
        <v>1414</v>
      </c>
      <c r="I102" s="1" t="s">
        <v>1415</v>
      </c>
      <c r="J102" s="1" t="s">
        <v>1416</v>
      </c>
      <c r="K102" s="1" t="e">
        <f>VLOOKUP(J102,'IU Major Match'!$D$2:$E$65,2,FALSE)</f>
        <v>#N/A</v>
      </c>
      <c r="L102" s="1">
        <v>96171338118</v>
      </c>
      <c r="M102" s="1" t="s">
        <v>242</v>
      </c>
      <c r="N102" s="1">
        <v>52</v>
      </c>
      <c r="O102" s="1">
        <v>13</v>
      </c>
      <c r="P102" s="1">
        <v>13</v>
      </c>
      <c r="Q102" s="1">
        <v>26</v>
      </c>
      <c r="R102" s="5">
        <f t="shared" si="4"/>
        <v>0.5</v>
      </c>
      <c r="S102" s="13" t="str">
        <f t="shared" si="5"/>
        <v>=&lt;50</v>
      </c>
      <c r="T102" s="14">
        <f t="shared" si="6"/>
        <v>2</v>
      </c>
      <c r="U102" s="14">
        <f t="shared" si="7"/>
        <v>1</v>
      </c>
    </row>
    <row r="103" spans="1:21" x14ac:dyDescent="0.25">
      <c r="A103" s="1">
        <v>62230410</v>
      </c>
      <c r="B103" s="1">
        <v>194126</v>
      </c>
      <c r="C103" s="1" t="s">
        <v>934</v>
      </c>
      <c r="D103" s="1" t="s">
        <v>92</v>
      </c>
      <c r="E103" s="1" t="s">
        <v>1524</v>
      </c>
      <c r="F103" s="1" t="s">
        <v>76</v>
      </c>
      <c r="G103" s="1" t="s">
        <v>18</v>
      </c>
      <c r="H103" s="1" t="s">
        <v>19</v>
      </c>
      <c r="I103" s="1" t="s">
        <v>77</v>
      </c>
      <c r="J103" s="1" t="s">
        <v>78</v>
      </c>
      <c r="K103" s="1" t="str">
        <f>VLOOKUP(J103,'IU Major Match'!$D$2:$E$65,2,FALSE)</f>
        <v>Can be Transferred to Bachelor of Engineering</v>
      </c>
      <c r="L103" s="1">
        <v>71995681</v>
      </c>
      <c r="M103" s="1" t="s">
        <v>153</v>
      </c>
      <c r="N103" s="1">
        <v>108</v>
      </c>
      <c r="O103" s="1">
        <v>96</v>
      </c>
      <c r="P103" s="1">
        <v>12</v>
      </c>
      <c r="Q103" s="1">
        <v>0</v>
      </c>
      <c r="R103" s="5">
        <f t="shared" si="4"/>
        <v>1</v>
      </c>
      <c r="S103" s="13" t="str">
        <f t="shared" si="5"/>
        <v>&gt;50</v>
      </c>
      <c r="T103" s="14">
        <f t="shared" si="6"/>
        <v>0</v>
      </c>
      <c r="U103" s="14">
        <f t="shared" si="7"/>
        <v>0</v>
      </c>
    </row>
    <row r="104" spans="1:21" x14ac:dyDescent="0.25">
      <c r="A104" s="1">
        <v>62230201</v>
      </c>
      <c r="B104" s="1">
        <v>188664</v>
      </c>
      <c r="C104" s="1" t="s">
        <v>965</v>
      </c>
      <c r="D104" s="1" t="s">
        <v>236</v>
      </c>
      <c r="E104" s="1" t="s">
        <v>796</v>
      </c>
      <c r="F104" s="1" t="s">
        <v>76</v>
      </c>
      <c r="G104" s="1" t="s">
        <v>18</v>
      </c>
      <c r="H104" s="1" t="s">
        <v>19</v>
      </c>
      <c r="I104" s="1" t="s">
        <v>82</v>
      </c>
      <c r="J104" s="1" t="s">
        <v>83</v>
      </c>
      <c r="K104" s="1" t="str">
        <f>VLOOKUP(J104,'IU Major Match'!$D$2:$E$65,2,FALSE)</f>
        <v>Can be Transferred to Bachelor of Engineering</v>
      </c>
      <c r="L104" s="1">
        <v>71943291</v>
      </c>
      <c r="M104" s="1" t="s">
        <v>153</v>
      </c>
      <c r="N104" s="1">
        <v>108</v>
      </c>
      <c r="O104" s="1">
        <v>78</v>
      </c>
      <c r="P104" s="1">
        <v>14</v>
      </c>
      <c r="Q104" s="1">
        <v>16</v>
      </c>
      <c r="R104" s="5">
        <f t="shared" si="4"/>
        <v>0.85185185185185186</v>
      </c>
      <c r="S104" s="13" t="str">
        <f t="shared" si="5"/>
        <v>&gt;50</v>
      </c>
      <c r="T104" s="14">
        <f t="shared" si="6"/>
        <v>2</v>
      </c>
      <c r="U104" s="14">
        <f t="shared" si="7"/>
        <v>1</v>
      </c>
    </row>
    <row r="105" spans="1:21" x14ac:dyDescent="0.25">
      <c r="A105" s="1">
        <v>61830159</v>
      </c>
      <c r="B105" s="1">
        <v>130112</v>
      </c>
      <c r="C105" s="1" t="s">
        <v>974</v>
      </c>
      <c r="D105" s="1" t="s">
        <v>1450</v>
      </c>
      <c r="E105" s="1" t="s">
        <v>1448</v>
      </c>
      <c r="F105" s="1" t="s">
        <v>76</v>
      </c>
      <c r="G105" s="1" t="s">
        <v>18</v>
      </c>
      <c r="H105" s="1" t="s">
        <v>19</v>
      </c>
      <c r="I105" s="1" t="s">
        <v>82</v>
      </c>
      <c r="J105" s="1" t="s">
        <v>83</v>
      </c>
      <c r="K105" s="1" t="str">
        <f>VLOOKUP(J105,'IU Major Match'!$D$2:$E$65,2,FALSE)</f>
        <v>Can be Transferred to Bachelor of Engineering</v>
      </c>
      <c r="L105" s="1">
        <v>96176926660</v>
      </c>
      <c r="M105" s="1" t="s">
        <v>56</v>
      </c>
      <c r="N105" s="1">
        <v>108</v>
      </c>
      <c r="O105" s="1">
        <v>89</v>
      </c>
      <c r="P105" s="1">
        <v>6</v>
      </c>
      <c r="Q105" s="1">
        <v>13</v>
      </c>
      <c r="R105" s="5">
        <f t="shared" si="4"/>
        <v>0.87962962962962965</v>
      </c>
      <c r="S105" s="13" t="str">
        <f t="shared" si="5"/>
        <v>&gt;50</v>
      </c>
      <c r="T105" s="14">
        <f t="shared" si="6"/>
        <v>1</v>
      </c>
      <c r="U105" s="14">
        <f t="shared" si="7"/>
        <v>0.5</v>
      </c>
    </row>
    <row r="106" spans="1:21" x14ac:dyDescent="0.25">
      <c r="A106" s="1">
        <v>62310016</v>
      </c>
      <c r="B106" s="1">
        <v>197491</v>
      </c>
      <c r="C106" s="1" t="s">
        <v>1525</v>
      </c>
      <c r="D106" s="1" t="s">
        <v>1526</v>
      </c>
      <c r="E106" s="1" t="s">
        <v>1527</v>
      </c>
      <c r="F106" s="1" t="s">
        <v>76</v>
      </c>
      <c r="G106" s="1" t="s">
        <v>23</v>
      </c>
      <c r="H106" s="1" t="s">
        <v>19</v>
      </c>
      <c r="I106" s="1" t="s">
        <v>151</v>
      </c>
      <c r="J106" s="1" t="s">
        <v>152</v>
      </c>
      <c r="K106" s="1" t="str">
        <f>VLOOKUP(J106,'IU Major Match'!$D$2:$E$65,2,FALSE)</f>
        <v>Major Dont exists in IU</v>
      </c>
      <c r="L106" s="1">
        <v>96178701264</v>
      </c>
      <c r="M106" s="1" t="s">
        <v>178</v>
      </c>
      <c r="N106" s="1">
        <v>105</v>
      </c>
      <c r="O106" s="1">
        <v>79</v>
      </c>
      <c r="P106" s="1">
        <v>19</v>
      </c>
      <c r="Q106" s="1">
        <v>7</v>
      </c>
      <c r="R106" s="5">
        <f t="shared" si="4"/>
        <v>0.93333333333333335</v>
      </c>
      <c r="S106" s="13" t="str">
        <f t="shared" si="5"/>
        <v>&gt;50</v>
      </c>
      <c r="T106" s="14">
        <f t="shared" si="6"/>
        <v>1</v>
      </c>
      <c r="U106" s="14">
        <f t="shared" si="7"/>
        <v>0.5</v>
      </c>
    </row>
    <row r="107" spans="1:21" x14ac:dyDescent="0.25">
      <c r="A107" s="1">
        <v>62230123</v>
      </c>
      <c r="B107" s="1">
        <v>187264</v>
      </c>
      <c r="C107" s="1" t="s">
        <v>1003</v>
      </c>
      <c r="D107" s="1" t="s">
        <v>67</v>
      </c>
      <c r="E107" s="1" t="s">
        <v>1528</v>
      </c>
      <c r="F107" s="1" t="s">
        <v>76</v>
      </c>
      <c r="G107" s="1" t="s">
        <v>18</v>
      </c>
      <c r="H107" s="1" t="s">
        <v>19</v>
      </c>
      <c r="I107" s="1" t="s">
        <v>82</v>
      </c>
      <c r="J107" s="1" t="s">
        <v>83</v>
      </c>
      <c r="K107" s="1" t="str">
        <f>VLOOKUP(J107,'IU Major Match'!$D$2:$E$65,2,FALSE)</f>
        <v>Can be Transferred to Bachelor of Engineering</v>
      </c>
      <c r="L107" s="1">
        <v>96181736441</v>
      </c>
      <c r="M107" s="1" t="s">
        <v>153</v>
      </c>
      <c r="N107" s="1">
        <v>108</v>
      </c>
      <c r="O107" s="1">
        <v>53</v>
      </c>
      <c r="P107" s="1">
        <v>15</v>
      </c>
      <c r="Q107" s="1">
        <v>40</v>
      </c>
      <c r="R107" s="5">
        <f t="shared" si="4"/>
        <v>0.62962962962962965</v>
      </c>
      <c r="S107" s="13" t="str">
        <f t="shared" si="5"/>
        <v>&gt;50</v>
      </c>
      <c r="T107" s="14">
        <f t="shared" si="6"/>
        <v>3</v>
      </c>
      <c r="U107" s="14">
        <f t="shared" si="7"/>
        <v>1.5</v>
      </c>
    </row>
    <row r="108" spans="1:21" x14ac:dyDescent="0.25">
      <c r="A108" s="1">
        <v>62230140</v>
      </c>
      <c r="B108" s="1">
        <v>187253</v>
      </c>
      <c r="C108" s="1" t="s">
        <v>1529</v>
      </c>
      <c r="D108" s="1" t="s">
        <v>1530</v>
      </c>
      <c r="E108" s="1" t="s">
        <v>1531</v>
      </c>
      <c r="F108" s="1" t="s">
        <v>76</v>
      </c>
      <c r="G108" s="1" t="s">
        <v>23</v>
      </c>
      <c r="H108" s="1" t="s">
        <v>19</v>
      </c>
      <c r="I108" s="1" t="s">
        <v>151</v>
      </c>
      <c r="J108" s="1" t="s">
        <v>152</v>
      </c>
      <c r="K108" s="1" t="str">
        <f>VLOOKUP(J108,'IU Major Match'!$D$2:$E$65,2,FALSE)</f>
        <v>Major Dont exists in IU</v>
      </c>
      <c r="L108" s="1">
        <v>70507933</v>
      </c>
      <c r="M108" s="1" t="s">
        <v>153</v>
      </c>
      <c r="N108" s="1">
        <v>105</v>
      </c>
      <c r="O108" s="1">
        <v>80</v>
      </c>
      <c r="P108" s="1">
        <v>17</v>
      </c>
      <c r="Q108" s="1">
        <v>8</v>
      </c>
      <c r="R108" s="5">
        <f t="shared" si="4"/>
        <v>0.92380952380952386</v>
      </c>
      <c r="S108" s="13" t="str">
        <f t="shared" si="5"/>
        <v>&gt;50</v>
      </c>
      <c r="T108" s="14">
        <f t="shared" si="6"/>
        <v>1</v>
      </c>
      <c r="U108" s="14">
        <f t="shared" si="7"/>
        <v>0.5</v>
      </c>
    </row>
    <row r="109" spans="1:21" x14ac:dyDescent="0.25">
      <c r="A109" s="1">
        <v>62230327</v>
      </c>
      <c r="B109" s="1">
        <v>191055</v>
      </c>
      <c r="C109" s="1" t="s">
        <v>1012</v>
      </c>
      <c r="D109" s="1" t="s">
        <v>312</v>
      </c>
      <c r="E109" s="1" t="s">
        <v>207</v>
      </c>
      <c r="F109" s="1" t="s">
        <v>76</v>
      </c>
      <c r="G109" s="1" t="s">
        <v>18</v>
      </c>
      <c r="H109" s="1" t="s">
        <v>19</v>
      </c>
      <c r="I109" s="1" t="s">
        <v>245</v>
      </c>
      <c r="J109" s="1" t="s">
        <v>246</v>
      </c>
      <c r="K109" s="1" t="str">
        <f>VLOOKUP(J109,'IU Major Match'!$D$2:$E$65,2,FALSE)</f>
        <v>Major Dont exists in IU</v>
      </c>
      <c r="L109" s="1">
        <v>81231487</v>
      </c>
      <c r="M109" s="1" t="s">
        <v>153</v>
      </c>
      <c r="N109" s="1">
        <v>114</v>
      </c>
      <c r="O109" s="1">
        <v>95</v>
      </c>
      <c r="P109" s="1">
        <v>13</v>
      </c>
      <c r="Q109" s="1">
        <v>0</v>
      </c>
      <c r="R109" s="5">
        <f t="shared" si="4"/>
        <v>0.94736842105263153</v>
      </c>
      <c r="S109" s="13" t="str">
        <f t="shared" si="5"/>
        <v>&gt;50</v>
      </c>
      <c r="T109" s="14">
        <f t="shared" si="6"/>
        <v>0</v>
      </c>
      <c r="U109" s="14">
        <f t="shared" si="7"/>
        <v>0</v>
      </c>
    </row>
    <row r="110" spans="1:21" x14ac:dyDescent="0.25">
      <c r="A110" s="1">
        <v>62510005</v>
      </c>
      <c r="B110" s="1">
        <v>217930</v>
      </c>
      <c r="C110" s="1" t="s">
        <v>129</v>
      </c>
      <c r="D110" s="1" t="s">
        <v>1532</v>
      </c>
      <c r="E110" s="1" t="s">
        <v>1533</v>
      </c>
      <c r="F110" s="1" t="s">
        <v>76</v>
      </c>
      <c r="G110" s="1" t="s">
        <v>18</v>
      </c>
      <c r="H110" s="1" t="s">
        <v>19</v>
      </c>
      <c r="I110" s="1" t="s">
        <v>146</v>
      </c>
      <c r="J110" s="1" t="s">
        <v>147</v>
      </c>
      <c r="K110" s="1" t="str">
        <f>VLOOKUP(J110,'IU Major Match'!$D$2:$E$65,2,FALSE)</f>
        <v>Can be Transferred to Bachelor of Engineering</v>
      </c>
      <c r="L110" s="1">
        <v>79104537</v>
      </c>
      <c r="M110" s="1" t="s">
        <v>242</v>
      </c>
      <c r="N110" s="1">
        <v>108</v>
      </c>
      <c r="O110" s="1">
        <v>58</v>
      </c>
      <c r="P110" s="1">
        <v>14</v>
      </c>
      <c r="Q110" s="1">
        <v>36</v>
      </c>
      <c r="R110" s="5">
        <f t="shared" si="4"/>
        <v>0.66666666666666663</v>
      </c>
      <c r="S110" s="13" t="str">
        <f t="shared" si="5"/>
        <v>&gt;50</v>
      </c>
      <c r="T110" s="14">
        <f t="shared" si="6"/>
        <v>3</v>
      </c>
      <c r="U110" s="14">
        <f t="shared" si="7"/>
        <v>1.5</v>
      </c>
    </row>
    <row r="111" spans="1:21" x14ac:dyDescent="0.25">
      <c r="A111" s="1">
        <v>62130063</v>
      </c>
      <c r="B111" s="1">
        <v>216966</v>
      </c>
      <c r="C111" s="1" t="s">
        <v>1069</v>
      </c>
      <c r="D111" s="1" t="s">
        <v>1534</v>
      </c>
      <c r="E111" s="1" t="s">
        <v>1535</v>
      </c>
      <c r="F111" s="1" t="s">
        <v>76</v>
      </c>
      <c r="G111" s="1" t="s">
        <v>18</v>
      </c>
      <c r="H111" s="1" t="s">
        <v>1414</v>
      </c>
      <c r="I111" s="1" t="s">
        <v>1419</v>
      </c>
      <c r="J111" s="1" t="s">
        <v>1420</v>
      </c>
      <c r="K111" s="1" t="e">
        <f>VLOOKUP(J111,'IU Major Match'!$D$2:$E$65,2,FALSE)</f>
        <v>#N/A</v>
      </c>
      <c r="L111" s="1">
        <v>76493023</v>
      </c>
      <c r="M111" s="1" t="s">
        <v>113</v>
      </c>
      <c r="N111" s="1">
        <v>52</v>
      </c>
      <c r="O111" s="1">
        <v>13</v>
      </c>
      <c r="P111" s="1">
        <v>13</v>
      </c>
      <c r="Q111" s="1">
        <v>26</v>
      </c>
      <c r="R111" s="5">
        <f t="shared" si="4"/>
        <v>0.5</v>
      </c>
      <c r="S111" s="13" t="str">
        <f t="shared" si="5"/>
        <v>=&lt;50</v>
      </c>
      <c r="T111" s="14">
        <f t="shared" si="6"/>
        <v>2</v>
      </c>
      <c r="U111" s="14">
        <f t="shared" si="7"/>
        <v>1</v>
      </c>
    </row>
    <row r="112" spans="1:21" x14ac:dyDescent="0.25">
      <c r="A112" s="1">
        <v>62310005</v>
      </c>
      <c r="B112" s="1">
        <v>197174</v>
      </c>
      <c r="C112" s="1" t="s">
        <v>1536</v>
      </c>
      <c r="D112" s="1" t="s">
        <v>911</v>
      </c>
      <c r="E112" s="1" t="s">
        <v>466</v>
      </c>
      <c r="F112" s="1" t="s">
        <v>76</v>
      </c>
      <c r="G112" s="1" t="s">
        <v>23</v>
      </c>
      <c r="H112" s="1" t="s">
        <v>19</v>
      </c>
      <c r="I112" s="1" t="s">
        <v>151</v>
      </c>
      <c r="J112" s="1" t="s">
        <v>152</v>
      </c>
      <c r="K112" s="1" t="str">
        <f>VLOOKUP(J112,'IU Major Match'!$D$2:$E$65,2,FALSE)</f>
        <v>Major Dont exists in IU</v>
      </c>
      <c r="L112" s="1">
        <v>96178937368</v>
      </c>
      <c r="M112" s="1" t="s">
        <v>178</v>
      </c>
      <c r="N112" s="1">
        <v>105</v>
      </c>
      <c r="O112" s="1">
        <v>83</v>
      </c>
      <c r="P112" s="1">
        <v>19</v>
      </c>
      <c r="Q112" s="1">
        <v>3</v>
      </c>
      <c r="R112" s="5">
        <f t="shared" si="4"/>
        <v>0.97142857142857142</v>
      </c>
      <c r="S112" s="13" t="str">
        <f t="shared" si="5"/>
        <v>&gt;50</v>
      </c>
      <c r="T112" s="14">
        <f t="shared" si="6"/>
        <v>1</v>
      </c>
      <c r="U112" s="14">
        <f t="shared" si="7"/>
        <v>0.5</v>
      </c>
    </row>
    <row r="113" spans="1:21" x14ac:dyDescent="0.25">
      <c r="A113" s="1">
        <v>62130044</v>
      </c>
      <c r="B113" s="1">
        <v>220646</v>
      </c>
      <c r="C113" s="1" t="s">
        <v>1278</v>
      </c>
      <c r="D113" s="1" t="s">
        <v>1537</v>
      </c>
      <c r="E113" s="1" t="s">
        <v>1085</v>
      </c>
      <c r="F113" s="1" t="s">
        <v>76</v>
      </c>
      <c r="G113" s="1" t="s">
        <v>18</v>
      </c>
      <c r="H113" s="1" t="s">
        <v>1414</v>
      </c>
      <c r="I113" s="1" t="s">
        <v>1419</v>
      </c>
      <c r="J113" s="1" t="s">
        <v>1420</v>
      </c>
      <c r="K113" s="1" t="e">
        <f>VLOOKUP(J113,'IU Major Match'!$D$2:$E$65,2,FALSE)</f>
        <v>#N/A</v>
      </c>
      <c r="L113" s="1">
        <v>76584510</v>
      </c>
      <c r="M113" s="1" t="s">
        <v>99</v>
      </c>
      <c r="N113" s="1">
        <v>52</v>
      </c>
      <c r="O113" s="1">
        <v>13</v>
      </c>
      <c r="P113" s="1">
        <v>13</v>
      </c>
      <c r="Q113" s="1">
        <v>26</v>
      </c>
      <c r="R113" s="5">
        <f t="shared" si="4"/>
        <v>0.5</v>
      </c>
      <c r="S113" s="13" t="str">
        <f t="shared" si="5"/>
        <v>=&lt;50</v>
      </c>
      <c r="T113" s="14">
        <f t="shared" si="6"/>
        <v>2</v>
      </c>
      <c r="U113" s="14">
        <f t="shared" si="7"/>
        <v>1</v>
      </c>
    </row>
    <row r="114" spans="1:21" x14ac:dyDescent="0.25">
      <c r="A114" s="1">
        <v>62430335</v>
      </c>
      <c r="B114" s="1">
        <v>217226</v>
      </c>
      <c r="C114" s="1" t="s">
        <v>1538</v>
      </c>
      <c r="D114" s="1" t="s">
        <v>1539</v>
      </c>
      <c r="E114" s="1" t="s">
        <v>365</v>
      </c>
      <c r="F114" s="1" t="s">
        <v>76</v>
      </c>
      <c r="G114" s="1" t="s">
        <v>93</v>
      </c>
      <c r="H114" s="1" t="s">
        <v>1414</v>
      </c>
      <c r="I114" s="1" t="s">
        <v>1454</v>
      </c>
      <c r="J114" s="1" t="s">
        <v>1455</v>
      </c>
      <c r="K114" s="1" t="e">
        <f>VLOOKUP(J114,'IU Major Match'!$D$2:$E$65,2,FALSE)</f>
        <v>#N/A</v>
      </c>
      <c r="L114" s="1">
        <v>3471299</v>
      </c>
      <c r="M114" s="1" t="s">
        <v>113</v>
      </c>
      <c r="N114" s="1">
        <v>39</v>
      </c>
      <c r="O114" s="1">
        <v>30</v>
      </c>
      <c r="P114" s="1">
        <v>9</v>
      </c>
      <c r="Q114" s="1">
        <v>0</v>
      </c>
      <c r="R114" s="5">
        <f t="shared" si="4"/>
        <v>1</v>
      </c>
      <c r="S114" s="13" t="str">
        <f t="shared" si="5"/>
        <v>&gt;50</v>
      </c>
      <c r="T114" s="14">
        <f t="shared" si="6"/>
        <v>0</v>
      </c>
      <c r="U114" s="14">
        <f t="shared" si="7"/>
        <v>0</v>
      </c>
    </row>
    <row r="115" spans="1:21" x14ac:dyDescent="0.25">
      <c r="A115" s="1">
        <v>61930086</v>
      </c>
      <c r="B115" s="1">
        <v>217855</v>
      </c>
      <c r="C115" s="1" t="s">
        <v>1104</v>
      </c>
      <c r="D115" s="1" t="s">
        <v>119</v>
      </c>
      <c r="E115" s="1" t="s">
        <v>1540</v>
      </c>
      <c r="F115" s="1" t="s">
        <v>76</v>
      </c>
      <c r="G115" s="1" t="s">
        <v>18</v>
      </c>
      <c r="H115" s="1" t="s">
        <v>1414</v>
      </c>
      <c r="I115" s="1" t="s">
        <v>1415</v>
      </c>
      <c r="J115" s="1" t="s">
        <v>1416</v>
      </c>
      <c r="K115" s="1" t="e">
        <f>VLOOKUP(J115,'IU Major Match'!$D$2:$E$65,2,FALSE)</f>
        <v>#N/A</v>
      </c>
      <c r="L115" s="1">
        <v>96181787377</v>
      </c>
      <c r="M115" s="1" t="s">
        <v>242</v>
      </c>
      <c r="N115" s="1">
        <v>52</v>
      </c>
      <c r="O115" s="1">
        <v>17</v>
      </c>
      <c r="P115" s="1">
        <v>12</v>
      </c>
      <c r="Q115" s="1">
        <v>23</v>
      </c>
      <c r="R115" s="5">
        <f t="shared" si="4"/>
        <v>0.55769230769230771</v>
      </c>
      <c r="S115" s="13" t="str">
        <f t="shared" si="5"/>
        <v>&gt;50</v>
      </c>
      <c r="T115" s="14">
        <f t="shared" si="6"/>
        <v>2</v>
      </c>
      <c r="U115" s="14">
        <f t="shared" si="7"/>
        <v>1</v>
      </c>
    </row>
    <row r="116" spans="1:21" x14ac:dyDescent="0.25">
      <c r="A116" s="1">
        <v>62230229</v>
      </c>
      <c r="B116" s="1">
        <v>189106</v>
      </c>
      <c r="C116" s="1" t="s">
        <v>731</v>
      </c>
      <c r="D116" s="1" t="s">
        <v>1541</v>
      </c>
      <c r="E116" s="1" t="s">
        <v>1542</v>
      </c>
      <c r="F116" s="1" t="s">
        <v>76</v>
      </c>
      <c r="G116" s="1" t="s">
        <v>23</v>
      </c>
      <c r="H116" s="1" t="s">
        <v>19</v>
      </c>
      <c r="I116" s="1" t="s">
        <v>237</v>
      </c>
      <c r="J116" s="1" t="s">
        <v>238</v>
      </c>
      <c r="K116" s="1" t="str">
        <f>VLOOKUP(J116,'IU Major Match'!$D$2:$E$65,2,FALSE)</f>
        <v xml:space="preserve">Major exists in IU </v>
      </c>
      <c r="L116" s="1">
        <v>81399121</v>
      </c>
      <c r="M116" s="1" t="s">
        <v>153</v>
      </c>
      <c r="N116" s="1">
        <v>108</v>
      </c>
      <c r="O116" s="1">
        <v>66</v>
      </c>
      <c r="P116" s="1">
        <v>15</v>
      </c>
      <c r="Q116" s="1">
        <v>27</v>
      </c>
      <c r="R116" s="5">
        <f t="shared" si="4"/>
        <v>0.75</v>
      </c>
      <c r="S116" s="13" t="str">
        <f t="shared" si="5"/>
        <v>&gt;50</v>
      </c>
      <c r="T116" s="14">
        <f t="shared" si="6"/>
        <v>2</v>
      </c>
      <c r="U116" s="14">
        <f t="shared" si="7"/>
        <v>1</v>
      </c>
    </row>
    <row r="117" spans="1:21" x14ac:dyDescent="0.25">
      <c r="A117" s="1">
        <v>61430095</v>
      </c>
      <c r="B117" s="1">
        <v>216730</v>
      </c>
      <c r="C117" s="1" t="s">
        <v>1543</v>
      </c>
      <c r="D117" s="1" t="s">
        <v>1394</v>
      </c>
      <c r="E117" s="1" t="s">
        <v>62</v>
      </c>
      <c r="F117" s="1" t="s">
        <v>76</v>
      </c>
      <c r="G117" s="1" t="s">
        <v>23</v>
      </c>
      <c r="H117" s="1" t="s">
        <v>1414</v>
      </c>
      <c r="I117" s="1" t="s">
        <v>1544</v>
      </c>
      <c r="J117" s="1" t="s">
        <v>1545</v>
      </c>
      <c r="K117" s="1" t="e">
        <f>VLOOKUP(J117,'IU Major Match'!$D$2:$E$65,2,FALSE)</f>
        <v>#N/A</v>
      </c>
      <c r="L117" s="1">
        <v>70306556</v>
      </c>
      <c r="M117" s="1" t="s">
        <v>113</v>
      </c>
      <c r="N117" s="1">
        <v>36</v>
      </c>
      <c r="O117" s="1">
        <v>27</v>
      </c>
      <c r="P117" s="1">
        <v>6</v>
      </c>
      <c r="Q117" s="1">
        <v>3</v>
      </c>
      <c r="R117" s="5">
        <f t="shared" si="4"/>
        <v>0.91666666666666663</v>
      </c>
      <c r="S117" s="13" t="str">
        <f t="shared" si="5"/>
        <v>&gt;50</v>
      </c>
      <c r="T117" s="14">
        <f t="shared" si="6"/>
        <v>1</v>
      </c>
      <c r="U117" s="14">
        <f t="shared" si="7"/>
        <v>0.5</v>
      </c>
    </row>
    <row r="118" spans="1:21" x14ac:dyDescent="0.25">
      <c r="A118" s="1">
        <v>62030048</v>
      </c>
      <c r="B118" s="1">
        <v>207786</v>
      </c>
      <c r="C118" s="1" t="s">
        <v>1116</v>
      </c>
      <c r="D118" s="1" t="s">
        <v>59</v>
      </c>
      <c r="E118" s="1" t="s">
        <v>951</v>
      </c>
      <c r="F118" s="1" t="s">
        <v>76</v>
      </c>
      <c r="G118" s="1" t="s">
        <v>18</v>
      </c>
      <c r="H118" s="1" t="s">
        <v>1414</v>
      </c>
      <c r="I118" s="1" t="s">
        <v>1487</v>
      </c>
      <c r="J118" s="1" t="s">
        <v>1488</v>
      </c>
      <c r="K118" s="1" t="e">
        <f>VLOOKUP(J118,'IU Major Match'!$D$2:$E$65,2,FALSE)</f>
        <v>#N/A</v>
      </c>
      <c r="L118" s="1">
        <v>3503141</v>
      </c>
      <c r="M118" s="1" t="s">
        <v>90</v>
      </c>
      <c r="N118" s="1">
        <v>52</v>
      </c>
      <c r="O118" s="1">
        <v>46</v>
      </c>
      <c r="P118" s="1">
        <v>6</v>
      </c>
      <c r="Q118" s="1">
        <v>0</v>
      </c>
      <c r="R118" s="5">
        <f t="shared" si="4"/>
        <v>1</v>
      </c>
      <c r="S118" s="13" t="str">
        <f t="shared" si="5"/>
        <v>&gt;50</v>
      </c>
      <c r="T118" s="14">
        <f t="shared" si="6"/>
        <v>0</v>
      </c>
      <c r="U118" s="14">
        <f t="shared" si="7"/>
        <v>0</v>
      </c>
    </row>
    <row r="119" spans="1:21" x14ac:dyDescent="0.25">
      <c r="A119" s="1">
        <v>62130142</v>
      </c>
      <c r="B119" s="1">
        <v>223011</v>
      </c>
      <c r="C119" s="1" t="s">
        <v>1020</v>
      </c>
      <c r="D119" s="1" t="s">
        <v>72</v>
      </c>
      <c r="E119" s="1" t="s">
        <v>536</v>
      </c>
      <c r="F119" s="1" t="s">
        <v>76</v>
      </c>
      <c r="G119" s="1" t="s">
        <v>18</v>
      </c>
      <c r="H119" s="1" t="s">
        <v>1414</v>
      </c>
      <c r="I119" s="1" t="s">
        <v>1419</v>
      </c>
      <c r="J119" s="1" t="s">
        <v>1420</v>
      </c>
      <c r="K119" s="1" t="e">
        <f>VLOOKUP(J119,'IU Major Match'!$D$2:$E$65,2,FALSE)</f>
        <v>#N/A</v>
      </c>
      <c r="L119" s="1">
        <v>81255256</v>
      </c>
      <c r="M119" s="1" t="s">
        <v>99</v>
      </c>
      <c r="N119" s="1">
        <v>52</v>
      </c>
      <c r="O119" s="1">
        <v>12</v>
      </c>
      <c r="P119" s="1">
        <v>14</v>
      </c>
      <c r="Q119" s="1">
        <v>26</v>
      </c>
      <c r="R119" s="5">
        <f t="shared" si="4"/>
        <v>0.5</v>
      </c>
      <c r="S119" s="13" t="str">
        <f t="shared" si="5"/>
        <v>=&lt;50</v>
      </c>
      <c r="T119" s="14">
        <f t="shared" si="6"/>
        <v>2</v>
      </c>
      <c r="U119" s="14">
        <f t="shared" si="7"/>
        <v>1</v>
      </c>
    </row>
    <row r="120" spans="1:21" x14ac:dyDescent="0.25">
      <c r="A120" s="1">
        <v>60910039</v>
      </c>
      <c r="B120" s="1">
        <v>204719</v>
      </c>
      <c r="C120" s="1" t="s">
        <v>1546</v>
      </c>
      <c r="D120" s="1" t="s">
        <v>1547</v>
      </c>
      <c r="E120" s="1" t="s">
        <v>1548</v>
      </c>
      <c r="F120" s="1" t="s">
        <v>76</v>
      </c>
      <c r="G120" s="1" t="s">
        <v>68</v>
      </c>
      <c r="H120" s="1" t="s">
        <v>1414</v>
      </c>
      <c r="I120" s="1" t="s">
        <v>1549</v>
      </c>
      <c r="J120" s="1" t="s">
        <v>1550</v>
      </c>
      <c r="K120" s="1" t="e">
        <f>VLOOKUP(J120,'IU Major Match'!$D$2:$E$65,2,FALSE)</f>
        <v>#N/A</v>
      </c>
      <c r="L120" s="1">
        <v>70202539</v>
      </c>
      <c r="M120" s="1" t="s">
        <v>90</v>
      </c>
      <c r="N120" s="1">
        <v>39</v>
      </c>
      <c r="O120" s="1">
        <v>36</v>
      </c>
      <c r="P120" s="1">
        <v>3</v>
      </c>
      <c r="Q120" s="1">
        <v>0</v>
      </c>
      <c r="R120" s="5">
        <f t="shared" si="4"/>
        <v>1</v>
      </c>
      <c r="S120" s="13" t="str">
        <f t="shared" si="5"/>
        <v>&gt;50</v>
      </c>
      <c r="T120" s="14">
        <f t="shared" si="6"/>
        <v>0</v>
      </c>
      <c r="U120" s="14">
        <f t="shared" si="7"/>
        <v>0</v>
      </c>
    </row>
    <row r="121" spans="1:21" x14ac:dyDescent="0.25">
      <c r="A121" s="1">
        <v>62330345</v>
      </c>
      <c r="B121" s="1">
        <v>206888</v>
      </c>
      <c r="C121" s="1" t="s">
        <v>1131</v>
      </c>
      <c r="D121" s="1" t="s">
        <v>1551</v>
      </c>
      <c r="E121" s="1" t="s">
        <v>71</v>
      </c>
      <c r="F121" s="1" t="s">
        <v>76</v>
      </c>
      <c r="G121" s="1" t="s">
        <v>200</v>
      </c>
      <c r="H121" s="1" t="s">
        <v>19</v>
      </c>
      <c r="I121" s="1" t="s">
        <v>201</v>
      </c>
      <c r="J121" s="1" t="s">
        <v>202</v>
      </c>
      <c r="K121" s="1" t="str">
        <f>VLOOKUP(J121,'IU Major Match'!$D$2:$E$65,2,FALSE)</f>
        <v>Major Dont exists in IU</v>
      </c>
      <c r="L121" s="1">
        <v>81430012</v>
      </c>
      <c r="M121" s="1" t="s">
        <v>90</v>
      </c>
      <c r="N121" s="1">
        <v>65</v>
      </c>
      <c r="O121" s="1">
        <v>49</v>
      </c>
      <c r="P121" s="1">
        <v>12</v>
      </c>
      <c r="Q121" s="1">
        <v>4</v>
      </c>
      <c r="R121" s="5">
        <f t="shared" si="4"/>
        <v>0.93846153846153846</v>
      </c>
      <c r="S121" s="13" t="str">
        <f t="shared" si="5"/>
        <v>&gt;50</v>
      </c>
      <c r="T121" s="14">
        <f t="shared" si="6"/>
        <v>1</v>
      </c>
      <c r="U121" s="14">
        <f t="shared" si="7"/>
        <v>0.5</v>
      </c>
    </row>
    <row r="122" spans="1:21" x14ac:dyDescent="0.25">
      <c r="A122" s="1">
        <v>62430320</v>
      </c>
      <c r="B122" s="1">
        <v>216562</v>
      </c>
      <c r="C122" s="1" t="s">
        <v>367</v>
      </c>
      <c r="D122" s="1" t="s">
        <v>443</v>
      </c>
      <c r="E122" s="1" t="s">
        <v>436</v>
      </c>
      <c r="F122" s="1" t="s">
        <v>76</v>
      </c>
      <c r="G122" s="1" t="s">
        <v>93</v>
      </c>
      <c r="H122" s="1" t="s">
        <v>1414</v>
      </c>
      <c r="I122" s="1" t="s">
        <v>1454</v>
      </c>
      <c r="J122" s="1" t="s">
        <v>1455</v>
      </c>
      <c r="K122" s="1" t="e">
        <f>VLOOKUP(J122,'IU Major Match'!$D$2:$E$65,2,FALSE)</f>
        <v>#N/A</v>
      </c>
      <c r="L122" s="1">
        <v>96170940820</v>
      </c>
      <c r="M122" s="1" t="s">
        <v>113</v>
      </c>
      <c r="N122" s="1">
        <v>39</v>
      </c>
      <c r="O122" s="1">
        <v>30</v>
      </c>
      <c r="P122" s="1">
        <v>9</v>
      </c>
      <c r="Q122" s="1">
        <v>0</v>
      </c>
      <c r="R122" s="5">
        <f t="shared" si="4"/>
        <v>1</v>
      </c>
      <c r="S122" s="13" t="str">
        <f t="shared" si="5"/>
        <v>&gt;50</v>
      </c>
      <c r="T122" s="14">
        <f t="shared" si="6"/>
        <v>0</v>
      </c>
      <c r="U122" s="14">
        <f t="shared" si="7"/>
        <v>0</v>
      </c>
    </row>
    <row r="123" spans="1:21" x14ac:dyDescent="0.25">
      <c r="A123" s="1">
        <v>62030287</v>
      </c>
      <c r="B123" s="1">
        <v>204993</v>
      </c>
      <c r="C123" s="1" t="s">
        <v>1552</v>
      </c>
      <c r="D123" s="1" t="s">
        <v>547</v>
      </c>
      <c r="E123" s="1" t="s">
        <v>1075</v>
      </c>
      <c r="F123" s="1" t="s">
        <v>76</v>
      </c>
      <c r="G123" s="1" t="s">
        <v>93</v>
      </c>
      <c r="H123" s="1" t="s">
        <v>1414</v>
      </c>
      <c r="I123" s="1" t="s">
        <v>1553</v>
      </c>
      <c r="J123" s="1" t="s">
        <v>1554</v>
      </c>
      <c r="K123" s="1" t="e">
        <f>VLOOKUP(J123,'IU Major Match'!$D$2:$E$65,2,FALSE)</f>
        <v>#N/A</v>
      </c>
      <c r="L123" s="1">
        <v>79172520</v>
      </c>
      <c r="M123" s="1" t="s">
        <v>90</v>
      </c>
      <c r="N123" s="1">
        <v>39</v>
      </c>
      <c r="O123" s="1">
        <v>27</v>
      </c>
      <c r="P123" s="1">
        <v>6</v>
      </c>
      <c r="Q123" s="1">
        <v>6</v>
      </c>
      <c r="R123" s="5">
        <f t="shared" si="4"/>
        <v>0.84615384615384615</v>
      </c>
      <c r="S123" s="13" t="str">
        <f t="shared" si="5"/>
        <v>&gt;50</v>
      </c>
      <c r="T123" s="14">
        <f t="shared" si="6"/>
        <v>1</v>
      </c>
      <c r="U123" s="14">
        <f t="shared" si="7"/>
        <v>0.5</v>
      </c>
    </row>
    <row r="124" spans="1:21" x14ac:dyDescent="0.25">
      <c r="A124" s="1">
        <v>62010035</v>
      </c>
      <c r="B124" s="1">
        <v>150221</v>
      </c>
      <c r="C124" s="1" t="s">
        <v>60</v>
      </c>
      <c r="D124" s="1" t="s">
        <v>1555</v>
      </c>
      <c r="E124" s="1" t="s">
        <v>1556</v>
      </c>
      <c r="F124" s="1" t="s">
        <v>76</v>
      </c>
      <c r="G124" s="1" t="s">
        <v>23</v>
      </c>
      <c r="H124" s="1" t="s">
        <v>19</v>
      </c>
      <c r="I124" s="1" t="s">
        <v>811</v>
      </c>
      <c r="J124" s="1" t="s">
        <v>812</v>
      </c>
      <c r="K124" s="1" t="str">
        <f>VLOOKUP(J124,'IU Major Match'!$D$2:$E$65,2,FALSE)</f>
        <v>Major Dont exists in IU</v>
      </c>
      <c r="L124" s="1">
        <v>96171316725</v>
      </c>
      <c r="M124" s="1" t="s">
        <v>1557</v>
      </c>
      <c r="N124" s="1">
        <v>99</v>
      </c>
      <c r="O124" s="1">
        <v>57</v>
      </c>
      <c r="P124" s="1">
        <v>18</v>
      </c>
      <c r="Q124" s="1">
        <v>24</v>
      </c>
      <c r="R124" s="5">
        <f t="shared" si="4"/>
        <v>0.75757575757575757</v>
      </c>
      <c r="S124" s="13" t="str">
        <f t="shared" si="5"/>
        <v>&gt;50</v>
      </c>
      <c r="T124" s="14">
        <f t="shared" si="6"/>
        <v>2</v>
      </c>
      <c r="U124" s="14">
        <f t="shared" si="7"/>
        <v>1</v>
      </c>
    </row>
    <row r="125" spans="1:21" x14ac:dyDescent="0.25">
      <c r="A125" s="1">
        <v>62210060</v>
      </c>
      <c r="B125" s="1">
        <v>182333</v>
      </c>
      <c r="C125" s="1" t="s">
        <v>1558</v>
      </c>
      <c r="D125" s="1" t="s">
        <v>1559</v>
      </c>
      <c r="E125" s="1" t="s">
        <v>464</v>
      </c>
      <c r="F125" s="1" t="s">
        <v>76</v>
      </c>
      <c r="G125" s="1" t="s">
        <v>23</v>
      </c>
      <c r="H125" s="1" t="s">
        <v>19</v>
      </c>
      <c r="I125" s="1" t="s">
        <v>103</v>
      </c>
      <c r="J125" s="1" t="s">
        <v>104</v>
      </c>
      <c r="K125" s="1" t="str">
        <f>VLOOKUP(J125,'IU Major Match'!$D$2:$E$65,2,FALSE)</f>
        <v xml:space="preserve">Major exists in IU </v>
      </c>
      <c r="L125" s="1">
        <v>71919756</v>
      </c>
      <c r="M125" s="1" t="s">
        <v>387</v>
      </c>
      <c r="N125" s="1">
        <v>100</v>
      </c>
      <c r="O125" s="1">
        <v>64</v>
      </c>
      <c r="P125" s="1">
        <v>12</v>
      </c>
      <c r="Q125" s="1">
        <v>24</v>
      </c>
      <c r="R125" s="5">
        <f t="shared" si="4"/>
        <v>0.76</v>
      </c>
      <c r="S125" s="13" t="str">
        <f t="shared" si="5"/>
        <v>&gt;50</v>
      </c>
      <c r="T125" s="14">
        <f t="shared" si="6"/>
        <v>2</v>
      </c>
      <c r="U125" s="14">
        <f t="shared" si="7"/>
        <v>1</v>
      </c>
    </row>
    <row r="126" spans="1:21" x14ac:dyDescent="0.25">
      <c r="A126" s="1">
        <v>61930442</v>
      </c>
      <c r="B126" s="1">
        <v>204390</v>
      </c>
      <c r="C126" s="1" t="s">
        <v>1560</v>
      </c>
      <c r="D126" s="1" t="s">
        <v>1561</v>
      </c>
      <c r="E126" s="1" t="s">
        <v>399</v>
      </c>
      <c r="F126" s="1" t="s">
        <v>76</v>
      </c>
      <c r="G126" s="1" t="s">
        <v>18</v>
      </c>
      <c r="H126" s="1" t="s">
        <v>1414</v>
      </c>
      <c r="I126" s="1" t="s">
        <v>1419</v>
      </c>
      <c r="J126" s="1" t="s">
        <v>1420</v>
      </c>
      <c r="K126" s="1" t="e">
        <f>VLOOKUP(J126,'IU Major Match'!$D$2:$E$65,2,FALSE)</f>
        <v>#N/A</v>
      </c>
      <c r="L126" s="1">
        <v>71894271</v>
      </c>
      <c r="M126" s="1" t="s">
        <v>90</v>
      </c>
      <c r="N126" s="1">
        <v>52</v>
      </c>
      <c r="O126" s="1">
        <v>46</v>
      </c>
      <c r="P126" s="1">
        <v>6</v>
      </c>
      <c r="Q126" s="1">
        <v>3</v>
      </c>
      <c r="R126" s="5">
        <f t="shared" si="4"/>
        <v>1</v>
      </c>
      <c r="S126" s="13" t="str">
        <f t="shared" si="5"/>
        <v>&gt;50</v>
      </c>
      <c r="T126" s="14">
        <f t="shared" si="6"/>
        <v>1</v>
      </c>
      <c r="U126" s="14">
        <f t="shared" si="7"/>
        <v>0.5</v>
      </c>
    </row>
    <row r="127" spans="1:21" x14ac:dyDescent="0.25">
      <c r="A127" s="1">
        <v>62130296</v>
      </c>
      <c r="B127" s="1">
        <v>223488</v>
      </c>
      <c r="C127" s="1" t="s">
        <v>1562</v>
      </c>
      <c r="D127" s="1" t="s">
        <v>325</v>
      </c>
      <c r="E127" s="1" t="s">
        <v>204</v>
      </c>
      <c r="F127" s="1" t="s">
        <v>76</v>
      </c>
      <c r="G127" s="1" t="s">
        <v>68</v>
      </c>
      <c r="H127" s="1" t="s">
        <v>1414</v>
      </c>
      <c r="I127" s="1" t="s">
        <v>1511</v>
      </c>
      <c r="J127" s="1" t="s">
        <v>1512</v>
      </c>
      <c r="K127" s="1" t="e">
        <f>VLOOKUP(J127,'IU Major Match'!$D$2:$E$65,2,FALSE)</f>
        <v>#N/A</v>
      </c>
      <c r="L127" s="1">
        <v>71814075</v>
      </c>
      <c r="M127" s="1" t="s">
        <v>99</v>
      </c>
      <c r="N127" s="1">
        <v>28</v>
      </c>
      <c r="O127" s="1">
        <v>14</v>
      </c>
      <c r="P127" s="1">
        <v>14</v>
      </c>
      <c r="Q127" s="1">
        <v>0</v>
      </c>
      <c r="R127" s="5">
        <f t="shared" si="4"/>
        <v>1</v>
      </c>
      <c r="S127" s="13" t="str">
        <f t="shared" si="5"/>
        <v>&gt;50</v>
      </c>
      <c r="T127" s="14">
        <f t="shared" si="6"/>
        <v>0</v>
      </c>
      <c r="U127" s="14">
        <f t="shared" si="7"/>
        <v>0</v>
      </c>
    </row>
    <row r="128" spans="1:21" x14ac:dyDescent="0.25">
      <c r="A128" s="1">
        <v>62230172</v>
      </c>
      <c r="B128" s="1">
        <v>189251</v>
      </c>
      <c r="C128" s="1" t="s">
        <v>1187</v>
      </c>
      <c r="D128" s="1" t="s">
        <v>48</v>
      </c>
      <c r="E128" s="1" t="s">
        <v>1563</v>
      </c>
      <c r="F128" s="1" t="s">
        <v>76</v>
      </c>
      <c r="G128" s="1" t="s">
        <v>23</v>
      </c>
      <c r="H128" s="1" t="s">
        <v>19</v>
      </c>
      <c r="I128" s="1" t="s">
        <v>151</v>
      </c>
      <c r="J128" s="1" t="s">
        <v>152</v>
      </c>
      <c r="K128" s="1" t="str">
        <f>VLOOKUP(J128,'IU Major Match'!$D$2:$E$65,2,FALSE)</f>
        <v>Major Dont exists in IU</v>
      </c>
      <c r="L128" s="1">
        <v>70562058</v>
      </c>
      <c r="M128" s="1" t="s">
        <v>153</v>
      </c>
      <c r="N128" s="1">
        <v>105</v>
      </c>
      <c r="O128" s="1">
        <v>56</v>
      </c>
      <c r="P128" s="1">
        <v>13</v>
      </c>
      <c r="Q128" s="1">
        <v>36</v>
      </c>
      <c r="R128" s="5">
        <f t="shared" si="4"/>
        <v>0.65714285714285714</v>
      </c>
      <c r="S128" s="13" t="str">
        <f t="shared" si="5"/>
        <v>&gt;50</v>
      </c>
      <c r="T128" s="14">
        <f t="shared" si="6"/>
        <v>3</v>
      </c>
      <c r="U128" s="14">
        <f t="shared" si="7"/>
        <v>1.5</v>
      </c>
    </row>
    <row r="129" spans="1:21" x14ac:dyDescent="0.25">
      <c r="A129" s="1">
        <v>61830152</v>
      </c>
      <c r="B129" s="1">
        <v>134462</v>
      </c>
      <c r="C129" s="1" t="s">
        <v>1187</v>
      </c>
      <c r="D129" s="1" t="s">
        <v>389</v>
      </c>
      <c r="E129" s="1" t="s">
        <v>1564</v>
      </c>
      <c r="F129" s="1" t="s">
        <v>76</v>
      </c>
      <c r="G129" s="1" t="s">
        <v>93</v>
      </c>
      <c r="H129" s="1" t="s">
        <v>1414</v>
      </c>
      <c r="I129" s="1" t="s">
        <v>1565</v>
      </c>
      <c r="J129" s="1" t="s">
        <v>1566</v>
      </c>
      <c r="K129" s="1" t="e">
        <f>VLOOKUP(J129,'IU Major Match'!$D$2:$E$65,2,FALSE)</f>
        <v>#N/A</v>
      </c>
      <c r="L129" s="1">
        <v>96176805572</v>
      </c>
      <c r="M129" s="1" t="s">
        <v>56</v>
      </c>
      <c r="N129" s="1">
        <v>39</v>
      </c>
      <c r="O129" s="1">
        <v>21</v>
      </c>
      <c r="P129" s="1">
        <v>6</v>
      </c>
      <c r="Q129" s="1">
        <v>12</v>
      </c>
      <c r="R129" s="5">
        <f t="shared" si="4"/>
        <v>0.69230769230769229</v>
      </c>
      <c r="S129" s="13" t="str">
        <f t="shared" si="5"/>
        <v>&gt;50</v>
      </c>
      <c r="T129" s="14">
        <f t="shared" si="6"/>
        <v>1</v>
      </c>
      <c r="U129" s="14">
        <f t="shared" si="7"/>
        <v>0.5</v>
      </c>
    </row>
    <row r="130" spans="1:21" x14ac:dyDescent="0.25">
      <c r="A130" s="1">
        <v>62330256</v>
      </c>
      <c r="B130" s="1">
        <v>203636</v>
      </c>
      <c r="C130" s="1" t="s">
        <v>1567</v>
      </c>
      <c r="D130" s="1" t="s">
        <v>145</v>
      </c>
      <c r="E130" s="1" t="s">
        <v>1568</v>
      </c>
      <c r="F130" s="1" t="s">
        <v>76</v>
      </c>
      <c r="G130" s="1" t="s">
        <v>23</v>
      </c>
      <c r="H130" s="1" t="s">
        <v>1414</v>
      </c>
      <c r="I130" s="1" t="s">
        <v>1544</v>
      </c>
      <c r="J130" s="1" t="s">
        <v>1545</v>
      </c>
      <c r="K130" s="1" t="e">
        <f>VLOOKUP(J130,'IU Major Match'!$D$2:$E$65,2,FALSE)</f>
        <v>#N/A</v>
      </c>
      <c r="L130" s="1">
        <v>71843491</v>
      </c>
      <c r="M130" s="1" t="s">
        <v>90</v>
      </c>
      <c r="N130" s="1">
        <v>36</v>
      </c>
      <c r="O130" s="1">
        <v>33</v>
      </c>
      <c r="P130" s="1">
        <v>3</v>
      </c>
      <c r="Q130" s="1">
        <v>0</v>
      </c>
      <c r="R130" s="5">
        <f t="shared" si="4"/>
        <v>1</v>
      </c>
      <c r="S130" s="13" t="str">
        <f t="shared" si="5"/>
        <v>&gt;50</v>
      </c>
      <c r="T130" s="14">
        <f t="shared" si="6"/>
        <v>0</v>
      </c>
      <c r="U130" s="14">
        <f t="shared" si="7"/>
        <v>0</v>
      </c>
    </row>
    <row r="131" spans="1:21" x14ac:dyDescent="0.25">
      <c r="A131" s="1">
        <v>62330270</v>
      </c>
      <c r="B131" s="1">
        <v>205323</v>
      </c>
      <c r="C131" s="1" t="s">
        <v>1569</v>
      </c>
      <c r="D131" s="1" t="s">
        <v>256</v>
      </c>
      <c r="E131" s="1" t="s">
        <v>212</v>
      </c>
      <c r="F131" s="1" t="s">
        <v>76</v>
      </c>
      <c r="G131" s="1" t="s">
        <v>18</v>
      </c>
      <c r="H131" s="1" t="s">
        <v>19</v>
      </c>
      <c r="I131" s="1" t="s">
        <v>302</v>
      </c>
      <c r="J131" s="1" t="s">
        <v>303</v>
      </c>
      <c r="K131" s="1" t="str">
        <f>VLOOKUP(J131,'IU Major Match'!$D$2:$E$65,2,FALSE)</f>
        <v>Can be Transferred to Bachelor of Engineering</v>
      </c>
      <c r="L131" s="1">
        <v>96176731695</v>
      </c>
      <c r="M131" s="1" t="s">
        <v>90</v>
      </c>
      <c r="N131" s="1">
        <v>108</v>
      </c>
      <c r="O131" s="1">
        <v>69</v>
      </c>
      <c r="P131" s="1">
        <v>13</v>
      </c>
      <c r="Q131" s="1">
        <v>26</v>
      </c>
      <c r="R131" s="5">
        <f t="shared" ref="R131:R154" si="8">(O131+P131)/N131</f>
        <v>0.7592592592592593</v>
      </c>
      <c r="S131" s="13" t="str">
        <f t="shared" ref="S131:S154" si="9">IF(R131&lt;=50%,"=&lt;50","&gt;50")</f>
        <v>&gt;50</v>
      </c>
      <c r="T131" s="14">
        <f t="shared" ref="T131:T154" si="10">ROUNDUP(Q131/15,0)</f>
        <v>2</v>
      </c>
      <c r="U131" s="14">
        <f t="shared" ref="U131:U154" si="11">T131/2</f>
        <v>1</v>
      </c>
    </row>
    <row r="132" spans="1:21" x14ac:dyDescent="0.25">
      <c r="A132" s="1">
        <v>62030289</v>
      </c>
      <c r="B132" s="1">
        <v>223398</v>
      </c>
      <c r="C132" s="1" t="s">
        <v>1570</v>
      </c>
      <c r="D132" s="1" t="s">
        <v>972</v>
      </c>
      <c r="E132" s="1" t="s">
        <v>432</v>
      </c>
      <c r="F132" s="1" t="s">
        <v>76</v>
      </c>
      <c r="G132" s="1" t="s">
        <v>93</v>
      </c>
      <c r="H132" s="1" t="s">
        <v>1414</v>
      </c>
      <c r="I132" s="1" t="s">
        <v>1454</v>
      </c>
      <c r="J132" s="1" t="s">
        <v>1455</v>
      </c>
      <c r="K132" s="1" t="e">
        <f>VLOOKUP(J132,'IU Major Match'!$D$2:$E$65,2,FALSE)</f>
        <v>#N/A</v>
      </c>
      <c r="L132" s="1">
        <v>96176738810</v>
      </c>
      <c r="M132" s="1" t="s">
        <v>99</v>
      </c>
      <c r="N132" s="1">
        <v>39</v>
      </c>
      <c r="O132" s="1">
        <v>3</v>
      </c>
      <c r="P132" s="1">
        <v>6</v>
      </c>
      <c r="Q132" s="1">
        <v>30</v>
      </c>
      <c r="R132" s="5">
        <f t="shared" si="8"/>
        <v>0.23076923076923078</v>
      </c>
      <c r="S132" s="13" t="str">
        <f t="shared" si="9"/>
        <v>=&lt;50</v>
      </c>
      <c r="T132" s="14">
        <f t="shared" si="10"/>
        <v>2</v>
      </c>
      <c r="U132" s="14">
        <f t="shared" si="11"/>
        <v>1</v>
      </c>
    </row>
    <row r="133" spans="1:21" x14ac:dyDescent="0.25">
      <c r="A133" s="1">
        <v>62330076</v>
      </c>
      <c r="B133" s="1">
        <v>199004</v>
      </c>
      <c r="C133" s="1" t="s">
        <v>1228</v>
      </c>
      <c r="D133" s="1" t="s">
        <v>1571</v>
      </c>
      <c r="E133" s="1" t="s">
        <v>130</v>
      </c>
      <c r="F133" s="1" t="s">
        <v>76</v>
      </c>
      <c r="G133" s="1" t="s">
        <v>18</v>
      </c>
      <c r="H133" s="1" t="s">
        <v>19</v>
      </c>
      <c r="I133" s="1" t="s">
        <v>302</v>
      </c>
      <c r="J133" s="1" t="s">
        <v>303</v>
      </c>
      <c r="K133" s="1" t="str">
        <f>VLOOKUP(J133,'IU Major Match'!$D$2:$E$65,2,FALSE)</f>
        <v>Can be Transferred to Bachelor of Engineering</v>
      </c>
      <c r="L133" s="1">
        <v>96181987156</v>
      </c>
      <c r="M133" s="1" t="s">
        <v>90</v>
      </c>
      <c r="N133" s="1">
        <v>108</v>
      </c>
      <c r="O133" s="1">
        <v>89</v>
      </c>
      <c r="P133" s="1">
        <v>13</v>
      </c>
      <c r="Q133" s="1">
        <v>6</v>
      </c>
      <c r="R133" s="5">
        <f t="shared" si="8"/>
        <v>0.94444444444444442</v>
      </c>
      <c r="S133" s="13" t="str">
        <f t="shared" si="9"/>
        <v>&gt;50</v>
      </c>
      <c r="T133" s="14">
        <f t="shared" si="10"/>
        <v>1</v>
      </c>
      <c r="U133" s="14">
        <f t="shared" si="11"/>
        <v>0.5</v>
      </c>
    </row>
    <row r="134" spans="1:21" x14ac:dyDescent="0.25">
      <c r="A134" s="1">
        <v>62130116</v>
      </c>
      <c r="B134" s="1">
        <v>215578</v>
      </c>
      <c r="C134" s="1" t="s">
        <v>1239</v>
      </c>
      <c r="D134" s="1" t="s">
        <v>545</v>
      </c>
      <c r="E134" s="1" t="s">
        <v>1572</v>
      </c>
      <c r="F134" s="1" t="s">
        <v>76</v>
      </c>
      <c r="G134" s="1" t="s">
        <v>18</v>
      </c>
      <c r="H134" s="1" t="s">
        <v>1414</v>
      </c>
      <c r="I134" s="1" t="s">
        <v>1415</v>
      </c>
      <c r="J134" s="1" t="s">
        <v>1416</v>
      </c>
      <c r="K134" s="1" t="e">
        <f>VLOOKUP(J134,'IU Major Match'!$D$2:$E$65,2,FALSE)</f>
        <v>#N/A</v>
      </c>
      <c r="L134" s="1">
        <v>81259722</v>
      </c>
      <c r="M134" s="1" t="s">
        <v>113</v>
      </c>
      <c r="N134" s="1">
        <v>52</v>
      </c>
      <c r="O134" s="1">
        <v>32</v>
      </c>
      <c r="P134" s="1">
        <v>14</v>
      </c>
      <c r="Q134" s="1">
        <v>6</v>
      </c>
      <c r="R134" s="5">
        <f t="shared" si="8"/>
        <v>0.88461538461538458</v>
      </c>
      <c r="S134" s="13" t="str">
        <f t="shared" si="9"/>
        <v>&gt;50</v>
      </c>
      <c r="T134" s="14">
        <f t="shared" si="10"/>
        <v>1</v>
      </c>
      <c r="U134" s="14">
        <f t="shared" si="11"/>
        <v>0.5</v>
      </c>
    </row>
    <row r="135" spans="1:21" x14ac:dyDescent="0.25">
      <c r="A135" s="1">
        <v>61630221</v>
      </c>
      <c r="B135" s="1">
        <v>190447</v>
      </c>
      <c r="C135" s="1" t="s">
        <v>1394</v>
      </c>
      <c r="D135" s="1" t="s">
        <v>48</v>
      </c>
      <c r="E135" s="1" t="s">
        <v>1573</v>
      </c>
      <c r="F135" s="1" t="s">
        <v>76</v>
      </c>
      <c r="G135" s="1" t="s">
        <v>93</v>
      </c>
      <c r="H135" s="1" t="s">
        <v>1414</v>
      </c>
      <c r="I135" s="1" t="s">
        <v>1553</v>
      </c>
      <c r="J135" s="1" t="s">
        <v>1554</v>
      </c>
      <c r="K135" s="1" t="e">
        <f>VLOOKUP(J135,'IU Major Match'!$D$2:$E$65,2,FALSE)</f>
        <v>#N/A</v>
      </c>
      <c r="L135" s="1">
        <v>70548410</v>
      </c>
      <c r="M135" s="1" t="s">
        <v>153</v>
      </c>
      <c r="N135" s="1">
        <v>39</v>
      </c>
      <c r="O135" s="1">
        <v>36</v>
      </c>
      <c r="P135" s="1">
        <v>3</v>
      </c>
      <c r="Q135" s="1">
        <v>0</v>
      </c>
      <c r="R135" s="5">
        <f t="shared" si="8"/>
        <v>1</v>
      </c>
      <c r="S135" s="13" t="str">
        <f t="shared" si="9"/>
        <v>&gt;50</v>
      </c>
      <c r="T135" s="14">
        <f t="shared" si="10"/>
        <v>0</v>
      </c>
      <c r="U135" s="14">
        <f t="shared" si="11"/>
        <v>0</v>
      </c>
    </row>
    <row r="136" spans="1:21" x14ac:dyDescent="0.25">
      <c r="A136" s="1">
        <v>62330152</v>
      </c>
      <c r="B136" s="1">
        <v>200557</v>
      </c>
      <c r="C136" s="1" t="s">
        <v>1574</v>
      </c>
      <c r="D136" s="1" t="s">
        <v>1575</v>
      </c>
      <c r="E136" s="1" t="s">
        <v>1576</v>
      </c>
      <c r="F136" s="1" t="s">
        <v>76</v>
      </c>
      <c r="G136" s="1" t="s">
        <v>18</v>
      </c>
      <c r="H136" s="1" t="s">
        <v>19</v>
      </c>
      <c r="I136" s="1" t="s">
        <v>302</v>
      </c>
      <c r="J136" s="1" t="s">
        <v>303</v>
      </c>
      <c r="K136" s="1" t="str">
        <f>VLOOKUP(J136,'IU Major Match'!$D$2:$E$65,2,FALSE)</f>
        <v>Can be Transferred to Bachelor of Engineering</v>
      </c>
      <c r="L136" s="1">
        <v>81184760</v>
      </c>
      <c r="M136" s="1" t="s">
        <v>90</v>
      </c>
      <c r="N136" s="1">
        <v>108</v>
      </c>
      <c r="O136" s="1">
        <v>50</v>
      </c>
      <c r="P136" s="1">
        <v>17</v>
      </c>
      <c r="Q136" s="1">
        <v>41</v>
      </c>
      <c r="R136" s="5">
        <f t="shared" si="8"/>
        <v>0.62037037037037035</v>
      </c>
      <c r="S136" s="13" t="str">
        <f t="shared" si="9"/>
        <v>&gt;50</v>
      </c>
      <c r="T136" s="14">
        <f t="shared" si="10"/>
        <v>3</v>
      </c>
      <c r="U136" s="14">
        <f t="shared" si="11"/>
        <v>1.5</v>
      </c>
    </row>
    <row r="137" spans="1:21" x14ac:dyDescent="0.25">
      <c r="A137" s="1">
        <v>62130014</v>
      </c>
      <c r="B137" s="1">
        <v>167135</v>
      </c>
      <c r="C137" s="1" t="s">
        <v>1577</v>
      </c>
      <c r="D137" s="1" t="s">
        <v>509</v>
      </c>
      <c r="E137" s="1" t="s">
        <v>1093</v>
      </c>
      <c r="F137" s="1" t="s">
        <v>76</v>
      </c>
      <c r="G137" s="1" t="s">
        <v>18</v>
      </c>
      <c r="H137" s="1" t="s">
        <v>19</v>
      </c>
      <c r="I137" s="1" t="s">
        <v>302</v>
      </c>
      <c r="J137" s="1" t="s">
        <v>303</v>
      </c>
      <c r="K137" s="1" t="str">
        <f>VLOOKUP(J137,'IU Major Match'!$D$2:$E$65,2,FALSE)</f>
        <v>Can be Transferred to Bachelor of Engineering</v>
      </c>
      <c r="L137" s="1">
        <v>79137070</v>
      </c>
      <c r="M137" s="1" t="s">
        <v>79</v>
      </c>
      <c r="N137" s="1">
        <v>108</v>
      </c>
      <c r="O137" s="1">
        <v>85</v>
      </c>
      <c r="P137" s="1">
        <v>10</v>
      </c>
      <c r="Q137" s="1">
        <v>13</v>
      </c>
      <c r="R137" s="5">
        <f t="shared" si="8"/>
        <v>0.87962962962962965</v>
      </c>
      <c r="S137" s="13" t="str">
        <f t="shared" si="9"/>
        <v>&gt;50</v>
      </c>
      <c r="T137" s="14">
        <f t="shared" si="10"/>
        <v>1</v>
      </c>
      <c r="U137" s="14">
        <f t="shared" si="11"/>
        <v>0.5</v>
      </c>
    </row>
    <row r="138" spans="1:21" x14ac:dyDescent="0.25">
      <c r="A138" s="1">
        <v>62130229</v>
      </c>
      <c r="B138" s="1">
        <v>170187</v>
      </c>
      <c r="C138" s="1" t="s">
        <v>92</v>
      </c>
      <c r="D138" s="1" t="s">
        <v>15</v>
      </c>
      <c r="E138" s="1" t="s">
        <v>1578</v>
      </c>
      <c r="F138" s="1" t="s">
        <v>76</v>
      </c>
      <c r="G138" s="1" t="s">
        <v>93</v>
      </c>
      <c r="H138" s="1" t="s">
        <v>19</v>
      </c>
      <c r="I138" s="1" t="s">
        <v>345</v>
      </c>
      <c r="J138" s="1" t="s">
        <v>346</v>
      </c>
      <c r="K138" s="1" t="str">
        <f>VLOOKUP(J138,'IU Major Match'!$D$2:$E$65,2,FALSE)</f>
        <v xml:space="preserve">Major exists in IU </v>
      </c>
      <c r="L138" s="1">
        <v>9613062359</v>
      </c>
      <c r="M138" s="1" t="s">
        <v>79</v>
      </c>
      <c r="N138" s="1">
        <v>99</v>
      </c>
      <c r="O138" s="1">
        <v>66</v>
      </c>
      <c r="P138" s="1">
        <v>12</v>
      </c>
      <c r="Q138" s="1">
        <v>21</v>
      </c>
      <c r="R138" s="5">
        <f t="shared" si="8"/>
        <v>0.78787878787878785</v>
      </c>
      <c r="S138" s="13" t="str">
        <f t="shared" si="9"/>
        <v>&gt;50</v>
      </c>
      <c r="T138" s="14">
        <f t="shared" si="10"/>
        <v>2</v>
      </c>
      <c r="U138" s="14">
        <f t="shared" si="11"/>
        <v>1</v>
      </c>
    </row>
    <row r="139" spans="1:21" x14ac:dyDescent="0.25">
      <c r="A139" s="1">
        <v>62430169</v>
      </c>
      <c r="B139" s="1">
        <v>212212</v>
      </c>
      <c r="C139" s="1" t="s">
        <v>1264</v>
      </c>
      <c r="D139" s="1" t="s">
        <v>49</v>
      </c>
      <c r="E139" s="1" t="s">
        <v>1579</v>
      </c>
      <c r="F139" s="1" t="s">
        <v>76</v>
      </c>
      <c r="G139" s="1" t="s">
        <v>93</v>
      </c>
      <c r="H139" s="1" t="s">
        <v>19</v>
      </c>
      <c r="I139" s="1" t="s">
        <v>107</v>
      </c>
      <c r="J139" s="1" t="s">
        <v>108</v>
      </c>
      <c r="K139" s="1" t="str">
        <f>VLOOKUP(J139,'IU Major Match'!$D$2:$E$65,2,FALSE)</f>
        <v xml:space="preserve">Major exists in IU </v>
      </c>
      <c r="L139" s="1">
        <v>96170631137</v>
      </c>
      <c r="M139" s="1" t="s">
        <v>113</v>
      </c>
      <c r="N139" s="1">
        <v>99</v>
      </c>
      <c r="O139" s="1">
        <v>39</v>
      </c>
      <c r="P139" s="1">
        <v>15</v>
      </c>
      <c r="Q139" s="1">
        <v>45</v>
      </c>
      <c r="R139" s="5">
        <f t="shared" si="8"/>
        <v>0.54545454545454541</v>
      </c>
      <c r="S139" s="13" t="str">
        <f t="shared" si="9"/>
        <v>&gt;50</v>
      </c>
      <c r="T139" s="14">
        <f t="shared" si="10"/>
        <v>3</v>
      </c>
      <c r="U139" s="14">
        <f t="shared" si="11"/>
        <v>1.5</v>
      </c>
    </row>
    <row r="140" spans="1:21" x14ac:dyDescent="0.25">
      <c r="A140" s="1">
        <v>62410053</v>
      </c>
      <c r="B140" s="1">
        <v>208475</v>
      </c>
      <c r="C140" s="1" t="s">
        <v>1264</v>
      </c>
      <c r="D140" s="1" t="s">
        <v>65</v>
      </c>
      <c r="E140" s="1" t="s">
        <v>1580</v>
      </c>
      <c r="F140" s="1" t="s">
        <v>76</v>
      </c>
      <c r="G140" s="1" t="s">
        <v>23</v>
      </c>
      <c r="H140" s="1" t="s">
        <v>19</v>
      </c>
      <c r="I140" s="1" t="s">
        <v>1045</v>
      </c>
      <c r="J140" s="1" t="s">
        <v>1046</v>
      </c>
      <c r="K140" s="1" t="str">
        <f>VLOOKUP(J140,'IU Major Match'!$D$2:$E$65,2,FALSE)</f>
        <v>Major Dont exists in IU</v>
      </c>
      <c r="L140" s="1">
        <v>71608328</v>
      </c>
      <c r="M140" s="1" t="s">
        <v>362</v>
      </c>
      <c r="N140" s="1">
        <v>99</v>
      </c>
      <c r="O140" s="1">
        <v>58</v>
      </c>
      <c r="P140" s="1">
        <v>13</v>
      </c>
      <c r="Q140" s="1">
        <v>28</v>
      </c>
      <c r="R140" s="5">
        <f t="shared" si="8"/>
        <v>0.71717171717171713</v>
      </c>
      <c r="S140" s="13" t="str">
        <f t="shared" si="9"/>
        <v>&gt;50</v>
      </c>
      <c r="T140" s="14">
        <f t="shared" si="10"/>
        <v>2</v>
      </c>
      <c r="U140" s="14">
        <f t="shared" si="11"/>
        <v>1</v>
      </c>
    </row>
    <row r="141" spans="1:21" x14ac:dyDescent="0.25">
      <c r="A141" s="1">
        <v>61830058</v>
      </c>
      <c r="B141" s="1">
        <v>196869</v>
      </c>
      <c r="C141" s="1" t="s">
        <v>418</v>
      </c>
      <c r="D141" s="1" t="s">
        <v>1581</v>
      </c>
      <c r="E141" s="1" t="s">
        <v>1582</v>
      </c>
      <c r="F141" s="1" t="s">
        <v>76</v>
      </c>
      <c r="G141" s="1" t="s">
        <v>18</v>
      </c>
      <c r="H141" s="1" t="s">
        <v>1414</v>
      </c>
      <c r="I141" s="1" t="s">
        <v>1419</v>
      </c>
      <c r="J141" s="1" t="s">
        <v>1420</v>
      </c>
      <c r="K141" s="1" t="e">
        <f>VLOOKUP(J141,'IU Major Match'!$D$2:$E$65,2,FALSE)</f>
        <v>#N/A</v>
      </c>
      <c r="L141" s="1">
        <v>96176079806</v>
      </c>
      <c r="M141" s="1" t="s">
        <v>178</v>
      </c>
      <c r="N141" s="1">
        <v>52</v>
      </c>
      <c r="O141" s="1">
        <v>40</v>
      </c>
      <c r="P141" s="1">
        <v>12</v>
      </c>
      <c r="Q141" s="1">
        <v>0</v>
      </c>
      <c r="R141" s="5">
        <f t="shared" si="8"/>
        <v>1</v>
      </c>
      <c r="S141" s="13" t="str">
        <f t="shared" si="9"/>
        <v>&gt;50</v>
      </c>
      <c r="T141" s="14">
        <f t="shared" si="10"/>
        <v>0</v>
      </c>
      <c r="U141" s="14">
        <f t="shared" si="11"/>
        <v>0</v>
      </c>
    </row>
    <row r="142" spans="1:21" x14ac:dyDescent="0.25">
      <c r="A142" s="1">
        <v>61130018</v>
      </c>
      <c r="B142" s="1">
        <v>215607</v>
      </c>
      <c r="C142" s="1" t="s">
        <v>418</v>
      </c>
      <c r="D142" s="1" t="s">
        <v>1583</v>
      </c>
      <c r="E142" s="1" t="s">
        <v>1584</v>
      </c>
      <c r="F142" s="1" t="s">
        <v>76</v>
      </c>
      <c r="G142" s="1" t="s">
        <v>93</v>
      </c>
      <c r="H142" s="1" t="s">
        <v>1414</v>
      </c>
      <c r="I142" s="1" t="s">
        <v>1454</v>
      </c>
      <c r="J142" s="1" t="s">
        <v>1455</v>
      </c>
      <c r="K142" s="1" t="e">
        <f>VLOOKUP(J142,'IU Major Match'!$D$2:$E$65,2,FALSE)</f>
        <v>#N/A</v>
      </c>
      <c r="L142" s="1">
        <v>70335083</v>
      </c>
      <c r="M142" s="1" t="s">
        <v>113</v>
      </c>
      <c r="N142" s="1">
        <v>39</v>
      </c>
      <c r="O142" s="1">
        <v>27</v>
      </c>
      <c r="P142" s="1">
        <v>9</v>
      </c>
      <c r="Q142" s="1">
        <v>3</v>
      </c>
      <c r="R142" s="5">
        <f t="shared" si="8"/>
        <v>0.92307692307692313</v>
      </c>
      <c r="S142" s="13" t="str">
        <f t="shared" si="9"/>
        <v>&gt;50</v>
      </c>
      <c r="T142" s="14">
        <f t="shared" si="10"/>
        <v>1</v>
      </c>
      <c r="U142" s="14">
        <f t="shared" si="11"/>
        <v>0.5</v>
      </c>
    </row>
    <row r="143" spans="1:21" x14ac:dyDescent="0.25">
      <c r="A143" s="1">
        <v>62230360</v>
      </c>
      <c r="B143" s="1">
        <v>219716</v>
      </c>
      <c r="C143" s="1" t="s">
        <v>66</v>
      </c>
      <c r="D143" s="1" t="s">
        <v>509</v>
      </c>
      <c r="E143" s="1" t="s">
        <v>1453</v>
      </c>
      <c r="F143" s="1" t="s">
        <v>76</v>
      </c>
      <c r="G143" s="1" t="s">
        <v>93</v>
      </c>
      <c r="H143" s="1" t="s">
        <v>1414</v>
      </c>
      <c r="I143" s="1" t="s">
        <v>1454</v>
      </c>
      <c r="J143" s="1" t="s">
        <v>1455</v>
      </c>
      <c r="K143" s="1" t="e">
        <f>VLOOKUP(J143,'IU Major Match'!$D$2:$E$65,2,FALSE)</f>
        <v>#N/A</v>
      </c>
      <c r="L143" s="1">
        <v>96170734292</v>
      </c>
      <c r="M143" s="1" t="s">
        <v>99</v>
      </c>
      <c r="N143" s="1">
        <v>39</v>
      </c>
      <c r="O143" s="1">
        <v>0</v>
      </c>
      <c r="P143" s="1">
        <v>6</v>
      </c>
      <c r="Q143" s="1">
        <v>33</v>
      </c>
      <c r="R143" s="5">
        <f t="shared" si="8"/>
        <v>0.15384615384615385</v>
      </c>
      <c r="S143" s="13" t="str">
        <f t="shared" si="9"/>
        <v>=&lt;50</v>
      </c>
      <c r="T143" s="14">
        <f t="shared" si="10"/>
        <v>3</v>
      </c>
      <c r="U143" s="14">
        <f t="shared" si="11"/>
        <v>1.5</v>
      </c>
    </row>
    <row r="144" spans="1:21" x14ac:dyDescent="0.25">
      <c r="A144" s="1">
        <v>62330357</v>
      </c>
      <c r="B144" s="1">
        <v>207104</v>
      </c>
      <c r="C144" s="1" t="s">
        <v>1300</v>
      </c>
      <c r="D144" s="1" t="s">
        <v>131</v>
      </c>
      <c r="E144" s="1" t="s">
        <v>1585</v>
      </c>
      <c r="F144" s="1" t="s">
        <v>76</v>
      </c>
      <c r="G144" s="1" t="s">
        <v>18</v>
      </c>
      <c r="H144" s="1" t="s">
        <v>19</v>
      </c>
      <c r="I144" s="1" t="s">
        <v>739</v>
      </c>
      <c r="J144" s="1" t="s">
        <v>740</v>
      </c>
      <c r="K144" s="1" t="str">
        <f>VLOOKUP(J144,'IU Major Match'!$D$2:$E$65,2,FALSE)</f>
        <v>Can be Transferred to Bachelor of Engineering</v>
      </c>
      <c r="L144" s="1">
        <v>96171475744</v>
      </c>
      <c r="M144" s="1" t="s">
        <v>90</v>
      </c>
      <c r="N144" s="1">
        <v>108</v>
      </c>
      <c r="O144" s="1">
        <v>62</v>
      </c>
      <c r="P144" s="1">
        <v>13</v>
      </c>
      <c r="Q144" s="1">
        <v>33</v>
      </c>
      <c r="R144" s="5">
        <f t="shared" si="8"/>
        <v>0.69444444444444442</v>
      </c>
      <c r="S144" s="13" t="str">
        <f t="shared" si="9"/>
        <v>&gt;50</v>
      </c>
      <c r="T144" s="14">
        <f t="shared" si="10"/>
        <v>3</v>
      </c>
      <c r="U144" s="14">
        <f t="shared" si="11"/>
        <v>1.5</v>
      </c>
    </row>
    <row r="145" spans="1:21" x14ac:dyDescent="0.25">
      <c r="A145" s="1">
        <v>62130292</v>
      </c>
      <c r="B145" s="1">
        <v>171147</v>
      </c>
      <c r="C145" s="1" t="s">
        <v>1300</v>
      </c>
      <c r="D145" s="1" t="s">
        <v>1586</v>
      </c>
      <c r="E145" s="1" t="s">
        <v>1587</v>
      </c>
      <c r="F145" s="1" t="s">
        <v>76</v>
      </c>
      <c r="G145" s="1" t="s">
        <v>68</v>
      </c>
      <c r="H145" s="1" t="s">
        <v>19</v>
      </c>
      <c r="I145" s="1" t="s">
        <v>1588</v>
      </c>
      <c r="J145" s="1" t="s">
        <v>1589</v>
      </c>
      <c r="K145" s="1" t="e">
        <f>VLOOKUP(J145,'IU Major Match'!$D$2:$E$65,2,FALSE)</f>
        <v>#N/A</v>
      </c>
      <c r="L145" s="1">
        <v>81481446</v>
      </c>
      <c r="M145" s="1" t="s">
        <v>79</v>
      </c>
      <c r="N145" s="1">
        <v>99</v>
      </c>
      <c r="O145" s="1">
        <v>70</v>
      </c>
      <c r="P145" s="1">
        <v>7</v>
      </c>
      <c r="Q145" s="1">
        <v>22</v>
      </c>
      <c r="R145" s="5">
        <f t="shared" si="8"/>
        <v>0.77777777777777779</v>
      </c>
      <c r="S145" s="13" t="str">
        <f t="shared" si="9"/>
        <v>&gt;50</v>
      </c>
      <c r="T145" s="14">
        <f t="shared" si="10"/>
        <v>2</v>
      </c>
      <c r="U145" s="14">
        <f t="shared" si="11"/>
        <v>1</v>
      </c>
    </row>
    <row r="146" spans="1:21" x14ac:dyDescent="0.25">
      <c r="A146" s="1">
        <v>62230242</v>
      </c>
      <c r="B146" s="1">
        <v>188631</v>
      </c>
      <c r="C146" s="1" t="s">
        <v>1335</v>
      </c>
      <c r="D146" s="1" t="s">
        <v>1590</v>
      </c>
      <c r="E146" s="1" t="s">
        <v>71</v>
      </c>
      <c r="F146" s="1" t="s">
        <v>76</v>
      </c>
      <c r="G146" s="1" t="s">
        <v>68</v>
      </c>
      <c r="H146" s="1" t="s">
        <v>19</v>
      </c>
      <c r="I146" s="1" t="s">
        <v>474</v>
      </c>
      <c r="J146" s="1" t="s">
        <v>475</v>
      </c>
      <c r="K146" s="1" t="str">
        <f>VLOOKUP(J146,'IU Major Match'!$D$2:$E$65,2,FALSE)</f>
        <v xml:space="preserve">Major exists in IU </v>
      </c>
      <c r="L146" s="1">
        <v>96176646901</v>
      </c>
      <c r="M146" s="1" t="s">
        <v>153</v>
      </c>
      <c r="N146" s="1">
        <v>99</v>
      </c>
      <c r="O146" s="1">
        <v>75</v>
      </c>
      <c r="P146" s="1">
        <v>18</v>
      </c>
      <c r="Q146" s="1">
        <v>6</v>
      </c>
      <c r="R146" s="5">
        <f t="shared" si="8"/>
        <v>0.93939393939393945</v>
      </c>
      <c r="S146" s="13" t="str">
        <f t="shared" si="9"/>
        <v>&gt;50</v>
      </c>
      <c r="T146" s="14">
        <f t="shared" si="10"/>
        <v>1</v>
      </c>
      <c r="U146" s="14">
        <f t="shared" si="11"/>
        <v>0.5</v>
      </c>
    </row>
    <row r="147" spans="1:21" x14ac:dyDescent="0.25">
      <c r="A147" s="1">
        <v>61830080</v>
      </c>
      <c r="B147" s="1">
        <v>207041</v>
      </c>
      <c r="C147" s="1" t="s">
        <v>447</v>
      </c>
      <c r="D147" s="1" t="s">
        <v>852</v>
      </c>
      <c r="E147" s="1" t="s">
        <v>1591</v>
      </c>
      <c r="F147" s="1" t="s">
        <v>76</v>
      </c>
      <c r="G147" s="1" t="s">
        <v>18</v>
      </c>
      <c r="H147" s="1" t="s">
        <v>1414</v>
      </c>
      <c r="I147" s="1" t="s">
        <v>1415</v>
      </c>
      <c r="J147" s="1" t="s">
        <v>1416</v>
      </c>
      <c r="K147" s="1" t="e">
        <f>VLOOKUP(J147,'IU Major Match'!$D$2:$E$65,2,FALSE)</f>
        <v>#N/A</v>
      </c>
      <c r="L147" s="1">
        <v>76507442</v>
      </c>
      <c r="M147" s="1" t="s">
        <v>90</v>
      </c>
      <c r="N147" s="1">
        <v>52</v>
      </c>
      <c r="O147" s="1">
        <v>39</v>
      </c>
      <c r="P147" s="1">
        <v>10</v>
      </c>
      <c r="Q147" s="1">
        <v>3</v>
      </c>
      <c r="R147" s="5">
        <f t="shared" si="8"/>
        <v>0.94230769230769229</v>
      </c>
      <c r="S147" s="13" t="str">
        <f t="shared" si="9"/>
        <v>&gt;50</v>
      </c>
      <c r="T147" s="14">
        <f t="shared" si="10"/>
        <v>1</v>
      </c>
      <c r="U147" s="14">
        <f t="shared" si="11"/>
        <v>0.5</v>
      </c>
    </row>
    <row r="148" spans="1:21" x14ac:dyDescent="0.25">
      <c r="A148" s="1">
        <v>62430112</v>
      </c>
      <c r="B148" s="1">
        <v>210060</v>
      </c>
      <c r="C148" s="1" t="s">
        <v>1382</v>
      </c>
      <c r="D148" s="1" t="s">
        <v>1592</v>
      </c>
      <c r="E148" s="1" t="s">
        <v>501</v>
      </c>
      <c r="F148" s="1" t="s">
        <v>76</v>
      </c>
      <c r="G148" s="1" t="s">
        <v>68</v>
      </c>
      <c r="H148" s="1" t="s">
        <v>19</v>
      </c>
      <c r="I148" s="1" t="s">
        <v>1164</v>
      </c>
      <c r="J148" s="1" t="s">
        <v>1165</v>
      </c>
      <c r="K148" s="1" t="str">
        <f>VLOOKUP(J148,'IU Major Match'!$D$2:$E$65,2,FALSE)</f>
        <v xml:space="preserve">Major exists in IU </v>
      </c>
      <c r="L148" s="1">
        <v>96181676846</v>
      </c>
      <c r="M148" s="1" t="s">
        <v>113</v>
      </c>
      <c r="N148" s="1">
        <v>108</v>
      </c>
      <c r="O148" s="1">
        <v>36</v>
      </c>
      <c r="P148" s="1">
        <v>15</v>
      </c>
      <c r="Q148" s="1">
        <v>57</v>
      </c>
      <c r="R148" s="5">
        <f t="shared" si="8"/>
        <v>0.47222222222222221</v>
      </c>
      <c r="S148" s="13" t="str">
        <f t="shared" si="9"/>
        <v>=&lt;50</v>
      </c>
      <c r="T148" s="14">
        <f t="shared" si="10"/>
        <v>4</v>
      </c>
      <c r="U148" s="14">
        <f t="shared" si="11"/>
        <v>2</v>
      </c>
    </row>
    <row r="149" spans="1:21" x14ac:dyDescent="0.25">
      <c r="A149" s="1">
        <v>62230387</v>
      </c>
      <c r="B149" s="1">
        <v>193864</v>
      </c>
      <c r="C149" s="1" t="s">
        <v>1382</v>
      </c>
      <c r="D149" s="1" t="s">
        <v>285</v>
      </c>
      <c r="E149" s="1" t="s">
        <v>167</v>
      </c>
      <c r="F149" s="1" t="s">
        <v>76</v>
      </c>
      <c r="G149" s="1" t="s">
        <v>23</v>
      </c>
      <c r="H149" s="1" t="s">
        <v>19</v>
      </c>
      <c r="I149" s="1" t="s">
        <v>151</v>
      </c>
      <c r="J149" s="1" t="s">
        <v>152</v>
      </c>
      <c r="K149" s="1" t="str">
        <f>VLOOKUP(J149,'IU Major Match'!$D$2:$E$65,2,FALSE)</f>
        <v>Major Dont exists in IU</v>
      </c>
      <c r="L149" s="1">
        <v>96178960756</v>
      </c>
      <c r="M149" s="1" t="s">
        <v>153</v>
      </c>
      <c r="N149" s="1">
        <v>105</v>
      </c>
      <c r="O149" s="1">
        <v>84</v>
      </c>
      <c r="P149" s="1">
        <v>13</v>
      </c>
      <c r="Q149" s="1">
        <v>8</v>
      </c>
      <c r="R149" s="5">
        <f t="shared" si="8"/>
        <v>0.92380952380952386</v>
      </c>
      <c r="S149" s="13" t="str">
        <f t="shared" si="9"/>
        <v>&gt;50</v>
      </c>
      <c r="T149" s="14">
        <f t="shared" si="10"/>
        <v>1</v>
      </c>
      <c r="U149" s="14">
        <f t="shared" si="11"/>
        <v>0.5</v>
      </c>
    </row>
    <row r="150" spans="1:21" x14ac:dyDescent="0.25">
      <c r="A150" s="1">
        <v>62130134</v>
      </c>
      <c r="B150" s="1">
        <v>226961</v>
      </c>
      <c r="C150" s="1" t="s">
        <v>1593</v>
      </c>
      <c r="D150" s="1" t="s">
        <v>1303</v>
      </c>
      <c r="E150" s="1" t="s">
        <v>1594</v>
      </c>
      <c r="F150" s="1" t="s">
        <v>76</v>
      </c>
      <c r="G150" s="1" t="s">
        <v>93</v>
      </c>
      <c r="H150" s="1" t="s">
        <v>1414</v>
      </c>
      <c r="I150" s="1" t="s">
        <v>1454</v>
      </c>
      <c r="J150" s="1" t="s">
        <v>1455</v>
      </c>
      <c r="K150" s="1" t="e">
        <f>VLOOKUP(J150,'IU Major Match'!$D$2:$E$65,2,FALSE)</f>
        <v>#N/A</v>
      </c>
      <c r="L150" s="1">
        <v>70359121</v>
      </c>
      <c r="M150" s="1" t="s">
        <v>84</v>
      </c>
      <c r="N150" s="1">
        <v>39</v>
      </c>
      <c r="O150" s="1">
        <v>0</v>
      </c>
      <c r="P150" s="1">
        <v>3</v>
      </c>
      <c r="Q150" s="1">
        <v>36</v>
      </c>
      <c r="R150" s="5">
        <f t="shared" si="8"/>
        <v>7.6923076923076927E-2</v>
      </c>
      <c r="S150" s="13" t="str">
        <f t="shared" si="9"/>
        <v>=&lt;50</v>
      </c>
      <c r="T150" s="14">
        <f t="shared" si="10"/>
        <v>3</v>
      </c>
      <c r="U150" s="14">
        <f t="shared" si="11"/>
        <v>1.5</v>
      </c>
    </row>
    <row r="151" spans="1:21" x14ac:dyDescent="0.25">
      <c r="A151" s="1">
        <v>62030150</v>
      </c>
      <c r="B151" s="1">
        <v>199297</v>
      </c>
      <c r="C151" s="1" t="s">
        <v>680</v>
      </c>
      <c r="D151" s="1" t="s">
        <v>261</v>
      </c>
      <c r="E151" s="1" t="s">
        <v>1595</v>
      </c>
      <c r="F151" s="1" t="s">
        <v>76</v>
      </c>
      <c r="G151" s="1" t="s">
        <v>18</v>
      </c>
      <c r="H151" s="1" t="s">
        <v>1414</v>
      </c>
      <c r="I151" s="1" t="s">
        <v>1419</v>
      </c>
      <c r="J151" s="1" t="s">
        <v>1420</v>
      </c>
      <c r="K151" s="1" t="e">
        <f>VLOOKUP(J151,'IU Major Match'!$D$2:$E$65,2,FALSE)</f>
        <v>#N/A</v>
      </c>
      <c r="L151" s="1">
        <v>71865827</v>
      </c>
      <c r="M151" s="1" t="s">
        <v>90</v>
      </c>
      <c r="N151" s="1">
        <v>52</v>
      </c>
      <c r="O151" s="1">
        <v>46</v>
      </c>
      <c r="P151" s="1">
        <v>3</v>
      </c>
      <c r="Q151" s="1">
        <v>3</v>
      </c>
      <c r="R151" s="5">
        <f t="shared" si="8"/>
        <v>0.94230769230769229</v>
      </c>
      <c r="S151" s="13" t="str">
        <f t="shared" si="9"/>
        <v>&gt;50</v>
      </c>
      <c r="T151" s="14">
        <f t="shared" si="10"/>
        <v>1</v>
      </c>
      <c r="U151" s="14">
        <f t="shared" si="11"/>
        <v>0.5</v>
      </c>
    </row>
    <row r="152" spans="1:21" x14ac:dyDescent="0.25">
      <c r="A152" s="1">
        <v>61830237</v>
      </c>
      <c r="B152" s="1">
        <v>131030</v>
      </c>
      <c r="C152" s="1" t="s">
        <v>325</v>
      </c>
      <c r="D152" s="1" t="s">
        <v>336</v>
      </c>
      <c r="E152" s="1" t="s">
        <v>1596</v>
      </c>
      <c r="F152" s="1" t="s">
        <v>76</v>
      </c>
      <c r="G152" s="1" t="s">
        <v>18</v>
      </c>
      <c r="H152" s="1" t="s">
        <v>19</v>
      </c>
      <c r="I152" s="1" t="s">
        <v>171</v>
      </c>
      <c r="J152" s="1" t="s">
        <v>172</v>
      </c>
      <c r="K152" s="1" t="str">
        <f>VLOOKUP(J152,'IU Major Match'!$D$2:$E$65,2,FALSE)</f>
        <v>Can be Transferred to Bachelor of Engineering</v>
      </c>
      <c r="L152" s="1">
        <v>70543067</v>
      </c>
      <c r="M152" s="1" t="s">
        <v>56</v>
      </c>
      <c r="N152" s="1">
        <v>108</v>
      </c>
      <c r="O152" s="1">
        <v>97</v>
      </c>
      <c r="P152" s="1">
        <v>11</v>
      </c>
      <c r="Q152" s="1">
        <v>0</v>
      </c>
      <c r="R152" s="5">
        <f t="shared" si="8"/>
        <v>1</v>
      </c>
      <c r="S152" s="13" t="str">
        <f t="shared" si="9"/>
        <v>&gt;50</v>
      </c>
      <c r="T152" s="14">
        <f t="shared" si="10"/>
        <v>0</v>
      </c>
      <c r="U152" s="14">
        <f t="shared" si="11"/>
        <v>0</v>
      </c>
    </row>
    <row r="153" spans="1:21" x14ac:dyDescent="0.25">
      <c r="A153" s="1">
        <v>62430147</v>
      </c>
      <c r="B153" s="1">
        <v>212241</v>
      </c>
      <c r="C153" s="1" t="s">
        <v>1597</v>
      </c>
      <c r="D153" s="1" t="s">
        <v>367</v>
      </c>
      <c r="E153" s="1" t="s">
        <v>1598</v>
      </c>
      <c r="F153" s="1" t="s">
        <v>76</v>
      </c>
      <c r="G153" s="1" t="s">
        <v>18</v>
      </c>
      <c r="H153" s="1" t="s">
        <v>19</v>
      </c>
      <c r="I153" s="1" t="s">
        <v>739</v>
      </c>
      <c r="J153" s="1" t="s">
        <v>740</v>
      </c>
      <c r="K153" s="1" t="str">
        <f>VLOOKUP(J153,'IU Major Match'!$D$2:$E$65,2,FALSE)</f>
        <v>Can be Transferred to Bachelor of Engineering</v>
      </c>
      <c r="L153" s="1">
        <v>81298927</v>
      </c>
      <c r="M153" s="1" t="s">
        <v>113</v>
      </c>
      <c r="N153" s="1">
        <v>108</v>
      </c>
      <c r="O153" s="1">
        <v>39</v>
      </c>
      <c r="P153" s="1">
        <v>16</v>
      </c>
      <c r="Q153" s="1">
        <v>53</v>
      </c>
      <c r="R153" s="5">
        <f t="shared" si="8"/>
        <v>0.5092592592592593</v>
      </c>
      <c r="S153" s="13" t="str">
        <f t="shared" si="9"/>
        <v>&gt;50</v>
      </c>
      <c r="T153" s="14">
        <f t="shared" si="10"/>
        <v>4</v>
      </c>
      <c r="U153" s="14">
        <f t="shared" si="11"/>
        <v>2</v>
      </c>
    </row>
    <row r="154" spans="1:21" x14ac:dyDescent="0.25">
      <c r="A154" s="1">
        <v>61930254</v>
      </c>
      <c r="B154" s="1">
        <v>192425</v>
      </c>
      <c r="C154" s="1" t="s">
        <v>1599</v>
      </c>
      <c r="D154" s="1" t="s">
        <v>602</v>
      </c>
      <c r="E154" s="1" t="s">
        <v>1600</v>
      </c>
      <c r="F154" s="1" t="s">
        <v>76</v>
      </c>
      <c r="G154" s="1" t="s">
        <v>93</v>
      </c>
      <c r="H154" s="1" t="s">
        <v>1414</v>
      </c>
      <c r="I154" s="1" t="s">
        <v>1601</v>
      </c>
      <c r="J154" s="1" t="s">
        <v>1602</v>
      </c>
      <c r="K154" s="1" t="e">
        <f>VLOOKUP(J154,'IU Major Match'!$D$2:$E$65,2,FALSE)</f>
        <v>#N/A</v>
      </c>
      <c r="L154" s="1">
        <v>76170434</v>
      </c>
      <c r="M154" s="1" t="s">
        <v>153</v>
      </c>
      <c r="N154" s="1">
        <v>39</v>
      </c>
      <c r="O154" s="1">
        <v>36</v>
      </c>
      <c r="P154" s="1">
        <v>3</v>
      </c>
      <c r="Q154" s="1">
        <v>0</v>
      </c>
      <c r="R154" s="5">
        <f t="shared" si="8"/>
        <v>1</v>
      </c>
      <c r="S154" s="13" t="str">
        <f t="shared" si="9"/>
        <v>&gt;50</v>
      </c>
      <c r="T154" s="14">
        <f t="shared" si="10"/>
        <v>0</v>
      </c>
      <c r="U154" s="14">
        <f t="shared" si="11"/>
        <v>0</v>
      </c>
    </row>
  </sheetData>
  <autoFilter ref="A1:U154" xr:uid="{00000000-0009-0000-0000-000002000000}"/>
  <conditionalFormatting sqref="S2:S154">
    <cfRule type="endsWith" dxfId="3" priority="1" operator="endsWith" text="&lt;50">
      <formula>RIGHT(S2,LEN("&lt;50"))="&lt;50"</formula>
    </cfRule>
    <cfRule type="containsText" dxfId="2" priority="2" operator="containsText" text="&gt;50">
      <formula>NOT(ISERROR(SEARCH("&gt;50",S2)))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U778"/>
  <sheetViews>
    <sheetView topLeftCell="E1" workbookViewId="0">
      <selection activeCell="K1" sqref="K1"/>
    </sheetView>
    <sheetView topLeftCell="F1" workbookViewId="1">
      <selection activeCell="R1" sqref="R1:U2"/>
    </sheetView>
  </sheetViews>
  <sheetFormatPr defaultRowHeight="15" x14ac:dyDescent="0.25"/>
  <cols>
    <col min="1" max="1" width="9" bestFit="1" customWidth="1"/>
    <col min="2" max="2" width="7" bestFit="1" customWidth="1"/>
    <col min="3" max="3" width="16.140625" bestFit="1" customWidth="1"/>
    <col min="4" max="4" width="24.28515625" bestFit="1" customWidth="1"/>
    <col min="5" max="5" width="22" bestFit="1" customWidth="1"/>
    <col min="6" max="6" width="13.28515625" bestFit="1" customWidth="1"/>
    <col min="7" max="7" width="6" bestFit="1" customWidth="1"/>
    <col min="8" max="8" width="12.85546875" bestFit="1" customWidth="1"/>
    <col min="9" max="9" width="7" bestFit="1" customWidth="1"/>
    <col min="10" max="10" width="73.5703125" bestFit="1" customWidth="1"/>
    <col min="11" max="11" width="38.28515625" bestFit="1" customWidth="1"/>
    <col min="12" max="12" width="12" bestFit="1" customWidth="1"/>
    <col min="13" max="13" width="17.85546875" bestFit="1" customWidth="1"/>
    <col min="14" max="14" width="15.7109375" style="12" bestFit="1" customWidth="1"/>
    <col min="15" max="15" width="13.7109375" style="12" bestFit="1" customWidth="1"/>
    <col min="16" max="16" width="11.28515625" style="12" customWidth="1"/>
    <col min="17" max="17" width="10.140625" style="12" bestFit="1" customWidth="1"/>
    <col min="18" max="18" width="21.140625" style="12" bestFit="1" customWidth="1"/>
    <col min="19" max="19" width="15.140625" bestFit="1" customWidth="1"/>
    <col min="20" max="20" width="26.28515625" style="4" bestFit="1" customWidth="1"/>
    <col min="21" max="21" width="17.28515625" style="4" customWidth="1"/>
  </cols>
  <sheetData>
    <row r="1" spans="1:21" x14ac:dyDescent="0.25">
      <c r="A1" s="2" t="s">
        <v>0</v>
      </c>
      <c r="B1" s="2" t="s">
        <v>1</v>
      </c>
      <c r="C1" s="2" t="s">
        <v>74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1706</v>
      </c>
      <c r="L1" s="2" t="s">
        <v>9</v>
      </c>
      <c r="M1" s="2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10" t="s">
        <v>1704</v>
      </c>
      <c r="S1" s="3" t="s">
        <v>1722</v>
      </c>
      <c r="T1" s="10" t="s">
        <v>1724</v>
      </c>
      <c r="U1" s="10" t="s">
        <v>1723</v>
      </c>
    </row>
    <row r="2" spans="1:21" x14ac:dyDescent="0.25">
      <c r="A2" s="1">
        <v>62130182</v>
      </c>
      <c r="B2" s="1">
        <v>172787</v>
      </c>
      <c r="C2" s="1" t="s">
        <v>55</v>
      </c>
      <c r="D2" s="1" t="s">
        <v>75</v>
      </c>
      <c r="E2" s="1" t="s">
        <v>58</v>
      </c>
      <c r="F2" s="1" t="s">
        <v>76</v>
      </c>
      <c r="G2" s="1" t="s">
        <v>18</v>
      </c>
      <c r="H2" s="1" t="s">
        <v>19</v>
      </c>
      <c r="I2" s="1" t="s">
        <v>77</v>
      </c>
      <c r="J2" s="1" t="s">
        <v>78</v>
      </c>
      <c r="K2" s="1" t="str">
        <f>VLOOKUP(J2,'IU Major Match'!$D$2:$E$65,2,FALSE)</f>
        <v>Can be Transferred to Bachelor of Engineering</v>
      </c>
      <c r="L2" s="1">
        <v>76499125</v>
      </c>
      <c r="M2" s="1" t="s">
        <v>79</v>
      </c>
      <c r="N2" s="11">
        <v>108</v>
      </c>
      <c r="O2" s="11">
        <v>50</v>
      </c>
      <c r="P2" s="11">
        <v>14</v>
      </c>
      <c r="Q2" s="11">
        <v>44</v>
      </c>
      <c r="R2" s="5">
        <f>(O2+P2)/N2</f>
        <v>0.59259259259259256</v>
      </c>
      <c r="S2" s="13" t="str">
        <f>IF(R2&lt;=50%,"=&lt;50","&gt;50")</f>
        <v>&gt;50</v>
      </c>
      <c r="T2" s="14">
        <f>ROUNDUP(Q2/15,0)</f>
        <v>3</v>
      </c>
      <c r="U2" s="14">
        <f>T2/2</f>
        <v>1.5</v>
      </c>
    </row>
    <row r="3" spans="1:21" x14ac:dyDescent="0.25">
      <c r="A3" s="1">
        <v>62610013</v>
      </c>
      <c r="B3" s="1">
        <v>227138</v>
      </c>
      <c r="C3" s="1" t="s">
        <v>80</v>
      </c>
      <c r="D3" s="1" t="s">
        <v>36</v>
      </c>
      <c r="E3" s="1" t="s">
        <v>81</v>
      </c>
      <c r="F3" s="1" t="s">
        <v>76</v>
      </c>
      <c r="G3" s="1" t="s">
        <v>18</v>
      </c>
      <c r="H3" s="1" t="s">
        <v>19</v>
      </c>
      <c r="I3" s="1" t="s">
        <v>82</v>
      </c>
      <c r="J3" s="1" t="s">
        <v>83</v>
      </c>
      <c r="K3" s="1" t="str">
        <f>VLOOKUP(J3,'IU Major Match'!$D$2:$E$65,2,FALSE)</f>
        <v>Can be Transferred to Bachelor of Engineering</v>
      </c>
      <c r="L3" s="1">
        <v>71732748</v>
      </c>
      <c r="M3" s="1" t="s">
        <v>84</v>
      </c>
      <c r="N3" s="11">
        <v>108</v>
      </c>
      <c r="O3" s="11">
        <v>0</v>
      </c>
      <c r="P3" s="11">
        <v>19</v>
      </c>
      <c r="Q3" s="11">
        <v>112</v>
      </c>
      <c r="R3" s="5">
        <f t="shared" ref="R3:R66" si="0">(O3+P3)/N3</f>
        <v>0.17592592592592593</v>
      </c>
      <c r="S3" s="13" t="str">
        <f t="shared" ref="S3:S66" si="1">IF(R3&lt;=50%,"=&lt;50","&gt;50")</f>
        <v>=&lt;50</v>
      </c>
      <c r="T3" s="14">
        <f t="shared" ref="T3:T66" si="2">ROUNDUP(Q3/15,0)</f>
        <v>8</v>
      </c>
      <c r="U3" s="14">
        <f t="shared" ref="U3:U66" si="3">T3/2</f>
        <v>4</v>
      </c>
    </row>
    <row r="4" spans="1:21" x14ac:dyDescent="0.25">
      <c r="A4" s="1">
        <v>62330246</v>
      </c>
      <c r="B4" s="1">
        <v>205930</v>
      </c>
      <c r="C4" s="1" t="s">
        <v>85</v>
      </c>
      <c r="D4" s="1" t="s">
        <v>86</v>
      </c>
      <c r="E4" s="1" t="s">
        <v>87</v>
      </c>
      <c r="F4" s="1" t="s">
        <v>76</v>
      </c>
      <c r="G4" s="1" t="s">
        <v>23</v>
      </c>
      <c r="H4" s="1" t="s">
        <v>19</v>
      </c>
      <c r="I4" s="1" t="s">
        <v>88</v>
      </c>
      <c r="J4" s="1" t="s">
        <v>89</v>
      </c>
      <c r="K4" s="1" t="str">
        <f>VLOOKUP(J4,'IU Major Match'!$D$2:$E$65,2,FALSE)</f>
        <v xml:space="preserve">Major exists in IU </v>
      </c>
      <c r="L4" s="1">
        <v>96171595630</v>
      </c>
      <c r="M4" s="1" t="s">
        <v>90</v>
      </c>
      <c r="N4" s="11">
        <v>99</v>
      </c>
      <c r="O4" s="11">
        <v>90</v>
      </c>
      <c r="P4" s="11">
        <v>9</v>
      </c>
      <c r="Q4" s="11">
        <v>0</v>
      </c>
      <c r="R4" s="5">
        <f t="shared" si="0"/>
        <v>1</v>
      </c>
      <c r="S4" s="13" t="str">
        <f t="shared" si="1"/>
        <v>&gt;50</v>
      </c>
      <c r="T4" s="14">
        <f t="shared" si="2"/>
        <v>0</v>
      </c>
      <c r="U4" s="14">
        <f t="shared" si="3"/>
        <v>0</v>
      </c>
    </row>
    <row r="5" spans="1:21" x14ac:dyDescent="0.25">
      <c r="A5" s="1">
        <v>62130165</v>
      </c>
      <c r="B5" s="1">
        <v>168811</v>
      </c>
      <c r="C5" s="1" t="s">
        <v>91</v>
      </c>
      <c r="D5" s="1" t="s">
        <v>92</v>
      </c>
      <c r="E5" s="1" t="s">
        <v>28</v>
      </c>
      <c r="F5" s="1" t="s">
        <v>76</v>
      </c>
      <c r="G5" s="1" t="s">
        <v>93</v>
      </c>
      <c r="H5" s="1" t="s">
        <v>19</v>
      </c>
      <c r="I5" s="1" t="s">
        <v>94</v>
      </c>
      <c r="J5" s="1" t="s">
        <v>95</v>
      </c>
      <c r="K5" s="1" t="str">
        <f>VLOOKUP(J5,'IU Major Match'!$D$2:$E$65,2,FALSE)</f>
        <v xml:space="preserve">Major exists in IU </v>
      </c>
      <c r="L5" s="1">
        <v>96178747241</v>
      </c>
      <c r="M5" s="1" t="s">
        <v>79</v>
      </c>
      <c r="N5" s="11">
        <v>99</v>
      </c>
      <c r="O5" s="11">
        <v>45</v>
      </c>
      <c r="P5" s="11">
        <v>12</v>
      </c>
      <c r="Q5" s="11">
        <v>42</v>
      </c>
      <c r="R5" s="5">
        <f t="shared" si="0"/>
        <v>0.5757575757575758</v>
      </c>
      <c r="S5" s="13" t="str">
        <f t="shared" si="1"/>
        <v>&gt;50</v>
      </c>
      <c r="T5" s="14">
        <f t="shared" si="2"/>
        <v>3</v>
      </c>
      <c r="U5" s="14">
        <f t="shared" si="3"/>
        <v>1.5</v>
      </c>
    </row>
    <row r="6" spans="1:21" x14ac:dyDescent="0.25">
      <c r="A6" s="1">
        <v>62530183</v>
      </c>
      <c r="B6" s="1">
        <v>223863</v>
      </c>
      <c r="C6" s="1" t="s">
        <v>67</v>
      </c>
      <c r="D6" s="1" t="s">
        <v>63</v>
      </c>
      <c r="E6" s="1" t="s">
        <v>96</v>
      </c>
      <c r="F6" s="1" t="s">
        <v>76</v>
      </c>
      <c r="G6" s="1" t="s">
        <v>23</v>
      </c>
      <c r="H6" s="1" t="s">
        <v>19</v>
      </c>
      <c r="I6" s="1" t="s">
        <v>97</v>
      </c>
      <c r="J6" s="1" t="s">
        <v>98</v>
      </c>
      <c r="K6" s="1" t="str">
        <f>VLOOKUP(J6,'IU Major Match'!$D$2:$E$65,2,FALSE)</f>
        <v>Major Dont exists in IU</v>
      </c>
      <c r="L6" s="1">
        <v>96181375307</v>
      </c>
      <c r="M6" s="1" t="s">
        <v>99</v>
      </c>
      <c r="N6" s="11">
        <v>105</v>
      </c>
      <c r="O6" s="11">
        <v>0</v>
      </c>
      <c r="P6" s="11">
        <v>10</v>
      </c>
      <c r="Q6" s="11">
        <v>102</v>
      </c>
      <c r="R6" s="5">
        <f t="shared" si="0"/>
        <v>9.5238095238095233E-2</v>
      </c>
      <c r="S6" s="13" t="str">
        <f t="shared" si="1"/>
        <v>=&lt;50</v>
      </c>
      <c r="T6" s="14">
        <f t="shared" si="2"/>
        <v>7</v>
      </c>
      <c r="U6" s="14">
        <f t="shared" si="3"/>
        <v>3.5</v>
      </c>
    </row>
    <row r="7" spans="1:21" x14ac:dyDescent="0.25">
      <c r="A7" s="1">
        <v>62330243</v>
      </c>
      <c r="B7" s="1">
        <v>205902</v>
      </c>
      <c r="C7" s="1" t="s">
        <v>100</v>
      </c>
      <c r="D7" s="1" t="s">
        <v>101</v>
      </c>
      <c r="E7" s="1" t="s">
        <v>102</v>
      </c>
      <c r="F7" s="1" t="s">
        <v>76</v>
      </c>
      <c r="G7" s="1" t="s">
        <v>23</v>
      </c>
      <c r="H7" s="1" t="s">
        <v>19</v>
      </c>
      <c r="I7" s="1" t="s">
        <v>103</v>
      </c>
      <c r="J7" s="1" t="s">
        <v>104</v>
      </c>
      <c r="K7" s="1" t="str">
        <f>VLOOKUP(J7,'IU Major Match'!$D$2:$E$65,2,FALSE)</f>
        <v xml:space="preserve">Major exists in IU </v>
      </c>
      <c r="L7" s="1">
        <v>79132513</v>
      </c>
      <c r="M7" s="1" t="s">
        <v>90</v>
      </c>
      <c r="N7" s="11">
        <v>100</v>
      </c>
      <c r="O7" s="11">
        <v>67</v>
      </c>
      <c r="P7" s="11">
        <v>15</v>
      </c>
      <c r="Q7" s="11">
        <v>18</v>
      </c>
      <c r="R7" s="5">
        <f t="shared" si="0"/>
        <v>0.82</v>
      </c>
      <c r="S7" s="13" t="str">
        <f t="shared" si="1"/>
        <v>&gt;50</v>
      </c>
      <c r="T7" s="14">
        <f t="shared" si="2"/>
        <v>2</v>
      </c>
      <c r="U7" s="14">
        <f t="shared" si="3"/>
        <v>1</v>
      </c>
    </row>
    <row r="8" spans="1:21" x14ac:dyDescent="0.25">
      <c r="A8" s="1">
        <v>62330336</v>
      </c>
      <c r="B8" s="1">
        <v>206361</v>
      </c>
      <c r="C8" s="1" t="s">
        <v>15</v>
      </c>
      <c r="D8" s="1" t="s">
        <v>30</v>
      </c>
      <c r="E8" s="1" t="s">
        <v>105</v>
      </c>
      <c r="F8" s="1" t="s">
        <v>76</v>
      </c>
      <c r="G8" s="1" t="s">
        <v>18</v>
      </c>
      <c r="H8" s="1" t="s">
        <v>19</v>
      </c>
      <c r="I8" s="1" t="s">
        <v>82</v>
      </c>
      <c r="J8" s="1" t="s">
        <v>83</v>
      </c>
      <c r="K8" s="1" t="str">
        <f>VLOOKUP(J8,'IU Major Match'!$D$2:$E$65,2,FALSE)</f>
        <v>Can be Transferred to Bachelor of Engineering</v>
      </c>
      <c r="L8" s="1">
        <v>96176818968</v>
      </c>
      <c r="M8" s="1" t="s">
        <v>90</v>
      </c>
      <c r="N8" s="11">
        <v>108</v>
      </c>
      <c r="O8" s="11">
        <v>59</v>
      </c>
      <c r="P8" s="11">
        <v>15</v>
      </c>
      <c r="Q8" s="11">
        <v>34</v>
      </c>
      <c r="R8" s="5">
        <f t="shared" si="0"/>
        <v>0.68518518518518523</v>
      </c>
      <c r="S8" s="13" t="str">
        <f t="shared" si="1"/>
        <v>&gt;50</v>
      </c>
      <c r="T8" s="14">
        <f t="shared" si="2"/>
        <v>3</v>
      </c>
      <c r="U8" s="14">
        <f t="shared" si="3"/>
        <v>1.5</v>
      </c>
    </row>
    <row r="9" spans="1:21" x14ac:dyDescent="0.25">
      <c r="A9" s="1">
        <v>62030284</v>
      </c>
      <c r="B9" s="1">
        <v>160076</v>
      </c>
      <c r="C9" s="1" t="s">
        <v>15</v>
      </c>
      <c r="D9" s="1" t="s">
        <v>24</v>
      </c>
      <c r="E9" s="1" t="s">
        <v>106</v>
      </c>
      <c r="F9" s="1" t="s">
        <v>76</v>
      </c>
      <c r="G9" s="1" t="s">
        <v>93</v>
      </c>
      <c r="H9" s="1" t="s">
        <v>19</v>
      </c>
      <c r="I9" s="1" t="s">
        <v>107</v>
      </c>
      <c r="J9" s="1" t="s">
        <v>108</v>
      </c>
      <c r="K9" s="1" t="str">
        <f>VLOOKUP(J9,'IU Major Match'!$D$2:$E$65,2,FALSE)</f>
        <v xml:space="preserve">Major exists in IU </v>
      </c>
      <c r="L9" s="1">
        <v>96176073579</v>
      </c>
      <c r="M9" s="1" t="s">
        <v>51</v>
      </c>
      <c r="N9" s="11">
        <v>99</v>
      </c>
      <c r="O9" s="11">
        <v>72</v>
      </c>
      <c r="P9" s="11">
        <v>18</v>
      </c>
      <c r="Q9" s="11">
        <v>9</v>
      </c>
      <c r="R9" s="5">
        <f t="shared" si="0"/>
        <v>0.90909090909090906</v>
      </c>
      <c r="S9" s="13" t="str">
        <f t="shared" si="1"/>
        <v>&gt;50</v>
      </c>
      <c r="T9" s="14">
        <f t="shared" si="2"/>
        <v>1</v>
      </c>
      <c r="U9" s="14">
        <f t="shared" si="3"/>
        <v>0.5</v>
      </c>
    </row>
    <row r="10" spans="1:21" x14ac:dyDescent="0.25">
      <c r="A10" s="1">
        <v>62430219</v>
      </c>
      <c r="B10" s="1">
        <v>217796</v>
      </c>
      <c r="C10" s="1" t="s">
        <v>15</v>
      </c>
      <c r="D10" s="1" t="s">
        <v>109</v>
      </c>
      <c r="E10" s="1" t="s">
        <v>110</v>
      </c>
      <c r="F10" s="1" t="s">
        <v>76</v>
      </c>
      <c r="G10" s="1" t="s">
        <v>93</v>
      </c>
      <c r="H10" s="1" t="s">
        <v>19</v>
      </c>
      <c r="I10" s="1" t="s">
        <v>111</v>
      </c>
      <c r="J10" s="1" t="s">
        <v>112</v>
      </c>
      <c r="K10" s="1" t="str">
        <f>VLOOKUP(J10,'IU Major Match'!$D$2:$E$65,2,FALSE)</f>
        <v xml:space="preserve">Major exists in IU </v>
      </c>
      <c r="L10" s="1">
        <v>96181843690</v>
      </c>
      <c r="M10" s="1" t="s">
        <v>113</v>
      </c>
      <c r="N10" s="11">
        <v>99</v>
      </c>
      <c r="O10" s="11">
        <v>12</v>
      </c>
      <c r="P10" s="11">
        <v>15</v>
      </c>
      <c r="Q10" s="11">
        <v>72</v>
      </c>
      <c r="R10" s="5">
        <f t="shared" si="0"/>
        <v>0.27272727272727271</v>
      </c>
      <c r="S10" s="13" t="str">
        <f t="shared" si="1"/>
        <v>=&lt;50</v>
      </c>
      <c r="T10" s="14">
        <f t="shared" si="2"/>
        <v>5</v>
      </c>
      <c r="U10" s="14">
        <f t="shared" si="3"/>
        <v>2.5</v>
      </c>
    </row>
    <row r="11" spans="1:21" x14ac:dyDescent="0.25">
      <c r="A11" s="1">
        <v>62430044</v>
      </c>
      <c r="B11" s="1">
        <v>210658</v>
      </c>
      <c r="C11" s="1" t="s">
        <v>114</v>
      </c>
      <c r="D11" s="1" t="s">
        <v>43</v>
      </c>
      <c r="E11" s="1" t="s">
        <v>115</v>
      </c>
      <c r="F11" s="1" t="s">
        <v>76</v>
      </c>
      <c r="G11" s="1" t="s">
        <v>23</v>
      </c>
      <c r="H11" s="1" t="s">
        <v>19</v>
      </c>
      <c r="I11" s="1" t="s">
        <v>116</v>
      </c>
      <c r="J11" s="1" t="s">
        <v>117</v>
      </c>
      <c r="K11" s="1" t="str">
        <f>VLOOKUP(J11,'IU Major Match'!$D$2:$E$65,2,FALSE)</f>
        <v>Major Dont exists in IU</v>
      </c>
      <c r="L11" s="1">
        <v>81429822</v>
      </c>
      <c r="M11" s="1" t="s">
        <v>113</v>
      </c>
      <c r="N11" s="11">
        <v>99</v>
      </c>
      <c r="O11" s="11">
        <v>52</v>
      </c>
      <c r="P11" s="11">
        <v>17</v>
      </c>
      <c r="Q11" s="11">
        <v>30</v>
      </c>
      <c r="R11" s="5">
        <f t="shared" si="0"/>
        <v>0.69696969696969702</v>
      </c>
      <c r="S11" s="13" t="str">
        <f t="shared" si="1"/>
        <v>&gt;50</v>
      </c>
      <c r="T11" s="14">
        <f t="shared" si="2"/>
        <v>2</v>
      </c>
      <c r="U11" s="14">
        <f t="shared" si="3"/>
        <v>1</v>
      </c>
    </row>
    <row r="12" spans="1:21" x14ac:dyDescent="0.25">
      <c r="A12" s="1">
        <v>62430192</v>
      </c>
      <c r="B12" s="1">
        <v>212234</v>
      </c>
      <c r="C12" s="1" t="s">
        <v>118</v>
      </c>
      <c r="D12" s="1" t="s">
        <v>119</v>
      </c>
      <c r="E12" s="1" t="s">
        <v>120</v>
      </c>
      <c r="F12" s="1" t="s">
        <v>76</v>
      </c>
      <c r="G12" s="1" t="s">
        <v>23</v>
      </c>
      <c r="H12" s="1" t="s">
        <v>19</v>
      </c>
      <c r="I12" s="1" t="s">
        <v>103</v>
      </c>
      <c r="J12" s="1" t="s">
        <v>104</v>
      </c>
      <c r="K12" s="1" t="str">
        <f>VLOOKUP(J12,'IU Major Match'!$D$2:$E$65,2,FALSE)</f>
        <v xml:space="preserve">Major exists in IU </v>
      </c>
      <c r="L12" s="1">
        <v>96181802108</v>
      </c>
      <c r="M12" s="1" t="s">
        <v>113</v>
      </c>
      <c r="N12" s="11">
        <v>100</v>
      </c>
      <c r="O12" s="11">
        <v>29</v>
      </c>
      <c r="P12" s="11">
        <v>15</v>
      </c>
      <c r="Q12" s="11">
        <v>56</v>
      </c>
      <c r="R12" s="5">
        <f t="shared" si="0"/>
        <v>0.44</v>
      </c>
      <c r="S12" s="13" t="str">
        <f t="shared" si="1"/>
        <v>=&lt;50</v>
      </c>
      <c r="T12" s="14">
        <f t="shared" si="2"/>
        <v>4</v>
      </c>
      <c r="U12" s="14">
        <f t="shared" si="3"/>
        <v>2</v>
      </c>
    </row>
    <row r="13" spans="1:21" x14ac:dyDescent="0.25">
      <c r="A13" s="1">
        <v>62610014</v>
      </c>
      <c r="B13" s="1">
        <v>227607</v>
      </c>
      <c r="C13" s="1" t="s">
        <v>121</v>
      </c>
      <c r="D13" s="1" t="s">
        <v>122</v>
      </c>
      <c r="E13" s="1" t="s">
        <v>123</v>
      </c>
      <c r="F13" s="1" t="s">
        <v>76</v>
      </c>
      <c r="G13" s="1" t="s">
        <v>93</v>
      </c>
      <c r="H13" s="1" t="s">
        <v>19</v>
      </c>
      <c r="I13" s="1" t="s">
        <v>124</v>
      </c>
      <c r="J13" s="1" t="s">
        <v>125</v>
      </c>
      <c r="K13" s="1" t="str">
        <f>VLOOKUP(J13,'IU Major Match'!$D$2:$E$65,2,FALSE)</f>
        <v xml:space="preserve">Major exists in IU </v>
      </c>
      <c r="L13" s="1">
        <v>96181969647</v>
      </c>
      <c r="M13" s="1" t="s">
        <v>84</v>
      </c>
      <c r="N13" s="11">
        <v>99</v>
      </c>
      <c r="O13" s="11">
        <v>21</v>
      </c>
      <c r="P13" s="11">
        <v>15</v>
      </c>
      <c r="Q13" s="11">
        <v>63</v>
      </c>
      <c r="R13" s="5">
        <f t="shared" si="0"/>
        <v>0.36363636363636365</v>
      </c>
      <c r="S13" s="13" t="str">
        <f t="shared" si="1"/>
        <v>=&lt;50</v>
      </c>
      <c r="T13" s="14">
        <f t="shared" si="2"/>
        <v>5</v>
      </c>
      <c r="U13" s="14">
        <f t="shared" si="3"/>
        <v>2.5</v>
      </c>
    </row>
    <row r="14" spans="1:21" x14ac:dyDescent="0.25">
      <c r="A14" s="1">
        <v>62420004</v>
      </c>
      <c r="B14" s="1">
        <v>211513</v>
      </c>
      <c r="C14" s="1" t="s">
        <v>126</v>
      </c>
      <c r="D14" s="1" t="s">
        <v>119</v>
      </c>
      <c r="E14" s="1" t="s">
        <v>127</v>
      </c>
      <c r="F14" s="1" t="s">
        <v>76</v>
      </c>
      <c r="G14" s="1" t="s">
        <v>18</v>
      </c>
      <c r="H14" s="1" t="s">
        <v>19</v>
      </c>
      <c r="I14" s="1" t="s">
        <v>82</v>
      </c>
      <c r="J14" s="1" t="s">
        <v>83</v>
      </c>
      <c r="K14" s="1" t="str">
        <f>VLOOKUP(J14,'IU Major Match'!$D$2:$E$65,2,FALSE)</f>
        <v>Can be Transferred to Bachelor of Engineering</v>
      </c>
      <c r="L14" s="1">
        <v>96170805594</v>
      </c>
      <c r="M14" s="1" t="s">
        <v>128</v>
      </c>
      <c r="N14" s="11">
        <v>108</v>
      </c>
      <c r="O14" s="11">
        <v>91</v>
      </c>
      <c r="P14" s="11">
        <v>17</v>
      </c>
      <c r="Q14" s="11">
        <v>0</v>
      </c>
      <c r="R14" s="5">
        <f t="shared" si="0"/>
        <v>1</v>
      </c>
      <c r="S14" s="13" t="str">
        <f t="shared" si="1"/>
        <v>&gt;50</v>
      </c>
      <c r="T14" s="14">
        <f t="shared" si="2"/>
        <v>0</v>
      </c>
      <c r="U14" s="14">
        <f t="shared" si="3"/>
        <v>0</v>
      </c>
    </row>
    <row r="15" spans="1:21" x14ac:dyDescent="0.25">
      <c r="A15" s="1">
        <v>62430180</v>
      </c>
      <c r="B15" s="1">
        <v>213381</v>
      </c>
      <c r="C15" s="1" t="s">
        <v>126</v>
      </c>
      <c r="D15" s="1" t="s">
        <v>129</v>
      </c>
      <c r="E15" s="1" t="s">
        <v>130</v>
      </c>
      <c r="F15" s="1" t="s">
        <v>76</v>
      </c>
      <c r="G15" s="1" t="s">
        <v>23</v>
      </c>
      <c r="H15" s="1" t="s">
        <v>19</v>
      </c>
      <c r="I15" s="1" t="s">
        <v>103</v>
      </c>
      <c r="J15" s="1" t="s">
        <v>104</v>
      </c>
      <c r="K15" s="1" t="str">
        <f>VLOOKUP(J15,'IU Major Match'!$D$2:$E$65,2,FALSE)</f>
        <v xml:space="preserve">Major exists in IU </v>
      </c>
      <c r="L15" s="1">
        <v>96181002949</v>
      </c>
      <c r="M15" s="1" t="s">
        <v>113</v>
      </c>
      <c r="N15" s="11">
        <v>100</v>
      </c>
      <c r="O15" s="11">
        <v>44</v>
      </c>
      <c r="P15" s="11">
        <v>15</v>
      </c>
      <c r="Q15" s="11">
        <v>41</v>
      </c>
      <c r="R15" s="5">
        <f t="shared" si="0"/>
        <v>0.59</v>
      </c>
      <c r="S15" s="13" t="str">
        <f t="shared" si="1"/>
        <v>&gt;50</v>
      </c>
      <c r="T15" s="14">
        <f t="shared" si="2"/>
        <v>3</v>
      </c>
      <c r="U15" s="14">
        <f t="shared" si="3"/>
        <v>1.5</v>
      </c>
    </row>
    <row r="16" spans="1:21" x14ac:dyDescent="0.25">
      <c r="A16" s="1">
        <v>62430138</v>
      </c>
      <c r="B16" s="1">
        <v>211355</v>
      </c>
      <c r="C16" s="1" t="s">
        <v>126</v>
      </c>
      <c r="D16" s="1" t="s">
        <v>131</v>
      </c>
      <c r="E16" s="1" t="s">
        <v>132</v>
      </c>
      <c r="F16" s="1" t="s">
        <v>76</v>
      </c>
      <c r="G16" s="1" t="s">
        <v>93</v>
      </c>
      <c r="H16" s="1" t="s">
        <v>19</v>
      </c>
      <c r="I16" s="1" t="s">
        <v>133</v>
      </c>
      <c r="J16" s="1" t="s">
        <v>134</v>
      </c>
      <c r="K16" s="1" t="str">
        <f>VLOOKUP(J16,'IU Major Match'!$D$2:$E$65,2,FALSE)</f>
        <v xml:space="preserve">Major exists in IU </v>
      </c>
      <c r="L16" s="1">
        <v>96181694336</v>
      </c>
      <c r="M16" s="1" t="s">
        <v>113</v>
      </c>
      <c r="N16" s="11">
        <v>99</v>
      </c>
      <c r="O16" s="11">
        <v>24</v>
      </c>
      <c r="P16" s="11">
        <v>15</v>
      </c>
      <c r="Q16" s="11">
        <v>60</v>
      </c>
      <c r="R16" s="5">
        <f t="shared" si="0"/>
        <v>0.39393939393939392</v>
      </c>
      <c r="S16" s="13" t="str">
        <f t="shared" si="1"/>
        <v>=&lt;50</v>
      </c>
      <c r="T16" s="14">
        <f t="shared" si="2"/>
        <v>4</v>
      </c>
      <c r="U16" s="14">
        <f t="shared" si="3"/>
        <v>2</v>
      </c>
    </row>
    <row r="17" spans="1:21" x14ac:dyDescent="0.25">
      <c r="A17" s="1">
        <v>62530211</v>
      </c>
      <c r="B17" s="1">
        <v>224556</v>
      </c>
      <c r="C17" s="1" t="s">
        <v>135</v>
      </c>
      <c r="D17" s="1" t="s">
        <v>136</v>
      </c>
      <c r="E17" s="1" t="s">
        <v>137</v>
      </c>
      <c r="F17" s="1" t="s">
        <v>76</v>
      </c>
      <c r="G17" s="1" t="s">
        <v>93</v>
      </c>
      <c r="H17" s="1" t="s">
        <v>19</v>
      </c>
      <c r="I17" s="1" t="s">
        <v>138</v>
      </c>
      <c r="J17" s="1" t="s">
        <v>139</v>
      </c>
      <c r="K17" s="1" t="str">
        <f>VLOOKUP(J17,'IU Major Match'!$D$2:$E$65,2,FALSE)</f>
        <v xml:space="preserve">Major exists in IU </v>
      </c>
      <c r="L17" s="1">
        <v>81453240</v>
      </c>
      <c r="M17" s="1" t="s">
        <v>99</v>
      </c>
      <c r="N17" s="11">
        <v>99</v>
      </c>
      <c r="O17" s="11">
        <v>9</v>
      </c>
      <c r="P17" s="11">
        <v>12</v>
      </c>
      <c r="Q17" s="11">
        <v>78</v>
      </c>
      <c r="R17" s="5">
        <f t="shared" si="0"/>
        <v>0.21212121212121213</v>
      </c>
      <c r="S17" s="13" t="str">
        <f t="shared" si="1"/>
        <v>=&lt;50</v>
      </c>
      <c r="T17" s="14">
        <f t="shared" si="2"/>
        <v>6</v>
      </c>
      <c r="U17" s="14">
        <f t="shared" si="3"/>
        <v>3</v>
      </c>
    </row>
    <row r="18" spans="1:21" x14ac:dyDescent="0.25">
      <c r="A18" s="1">
        <v>62530060</v>
      </c>
      <c r="B18" s="1">
        <v>219807</v>
      </c>
      <c r="C18" s="1" t="s">
        <v>135</v>
      </c>
      <c r="D18" s="1" t="s">
        <v>140</v>
      </c>
      <c r="E18" s="1" t="s">
        <v>141</v>
      </c>
      <c r="F18" s="1" t="s">
        <v>76</v>
      </c>
      <c r="G18" s="1" t="s">
        <v>23</v>
      </c>
      <c r="H18" s="1" t="s">
        <v>19</v>
      </c>
      <c r="I18" s="1" t="s">
        <v>142</v>
      </c>
      <c r="J18" s="1" t="s">
        <v>143</v>
      </c>
      <c r="K18" s="1" t="str">
        <f>VLOOKUP(J18,'IU Major Match'!$D$2:$E$65,2,FALSE)</f>
        <v xml:space="preserve">Major exists in IU </v>
      </c>
      <c r="L18" s="1">
        <v>71978328</v>
      </c>
      <c r="M18" s="1" t="s">
        <v>99</v>
      </c>
      <c r="N18" s="11">
        <v>99</v>
      </c>
      <c r="O18" s="11">
        <v>6</v>
      </c>
      <c r="P18" s="11">
        <v>10</v>
      </c>
      <c r="Q18" s="11">
        <v>91</v>
      </c>
      <c r="R18" s="5">
        <f t="shared" si="0"/>
        <v>0.16161616161616163</v>
      </c>
      <c r="S18" s="13" t="str">
        <f t="shared" si="1"/>
        <v>=&lt;50</v>
      </c>
      <c r="T18" s="14">
        <f t="shared" si="2"/>
        <v>7</v>
      </c>
      <c r="U18" s="14">
        <f t="shared" si="3"/>
        <v>3.5</v>
      </c>
    </row>
    <row r="19" spans="1:21" x14ac:dyDescent="0.25">
      <c r="A19" s="1">
        <v>62610012</v>
      </c>
      <c r="B19" s="1">
        <v>227541</v>
      </c>
      <c r="C19" s="1" t="s">
        <v>144</v>
      </c>
      <c r="D19" s="1" t="s">
        <v>145</v>
      </c>
      <c r="E19" s="1" t="s">
        <v>123</v>
      </c>
      <c r="F19" s="1" t="s">
        <v>76</v>
      </c>
      <c r="G19" s="1" t="s">
        <v>18</v>
      </c>
      <c r="H19" s="1" t="s">
        <v>19</v>
      </c>
      <c r="I19" s="1" t="s">
        <v>146</v>
      </c>
      <c r="J19" s="1" t="s">
        <v>147</v>
      </c>
      <c r="K19" s="1" t="str">
        <f>VLOOKUP(J19,'IU Major Match'!$D$2:$E$65,2,FALSE)</f>
        <v>Can be Transferred to Bachelor of Engineering</v>
      </c>
      <c r="L19" s="1">
        <v>9613705599</v>
      </c>
      <c r="M19" s="1" t="s">
        <v>84</v>
      </c>
      <c r="N19" s="11">
        <v>108</v>
      </c>
      <c r="O19" s="11">
        <v>12</v>
      </c>
      <c r="P19" s="11">
        <v>16</v>
      </c>
      <c r="Q19" s="11">
        <v>80</v>
      </c>
      <c r="R19" s="5">
        <f t="shared" si="0"/>
        <v>0.25925925925925924</v>
      </c>
      <c r="S19" s="13" t="str">
        <f t="shared" si="1"/>
        <v>=&lt;50</v>
      </c>
      <c r="T19" s="14">
        <f t="shared" si="2"/>
        <v>6</v>
      </c>
      <c r="U19" s="14">
        <f t="shared" si="3"/>
        <v>3</v>
      </c>
    </row>
    <row r="20" spans="1:21" x14ac:dyDescent="0.25">
      <c r="A20" s="1">
        <v>62230220</v>
      </c>
      <c r="B20" s="1">
        <v>188653</v>
      </c>
      <c r="C20" s="1" t="s">
        <v>148</v>
      </c>
      <c r="D20" s="1" t="s">
        <v>149</v>
      </c>
      <c r="E20" s="1" t="s">
        <v>150</v>
      </c>
      <c r="F20" s="1" t="s">
        <v>76</v>
      </c>
      <c r="G20" s="1" t="s">
        <v>23</v>
      </c>
      <c r="H20" s="1" t="s">
        <v>19</v>
      </c>
      <c r="I20" s="1" t="s">
        <v>151</v>
      </c>
      <c r="J20" s="1" t="s">
        <v>152</v>
      </c>
      <c r="K20" s="1" t="str">
        <f>VLOOKUP(J20,'IU Major Match'!$D$2:$E$65,2,FALSE)</f>
        <v>Major Dont exists in IU</v>
      </c>
      <c r="L20" s="1">
        <v>71849182</v>
      </c>
      <c r="M20" s="1" t="s">
        <v>153</v>
      </c>
      <c r="N20" s="11">
        <v>105</v>
      </c>
      <c r="O20" s="11">
        <v>84</v>
      </c>
      <c r="P20" s="11">
        <v>15</v>
      </c>
      <c r="Q20" s="11">
        <v>6</v>
      </c>
      <c r="R20" s="5">
        <f t="shared" si="0"/>
        <v>0.94285714285714284</v>
      </c>
      <c r="S20" s="13" t="str">
        <f t="shared" si="1"/>
        <v>&gt;50</v>
      </c>
      <c r="T20" s="14">
        <f t="shared" si="2"/>
        <v>1</v>
      </c>
      <c r="U20" s="14">
        <f t="shared" si="3"/>
        <v>0.5</v>
      </c>
    </row>
    <row r="21" spans="1:21" x14ac:dyDescent="0.25">
      <c r="A21" s="1">
        <v>62430247</v>
      </c>
      <c r="B21" s="1">
        <v>227224</v>
      </c>
      <c r="C21" s="1" t="s">
        <v>154</v>
      </c>
      <c r="D21" s="1" t="s">
        <v>155</v>
      </c>
      <c r="E21" s="1" t="s">
        <v>156</v>
      </c>
      <c r="F21" s="1" t="s">
        <v>76</v>
      </c>
      <c r="G21" s="1" t="s">
        <v>23</v>
      </c>
      <c r="H21" s="1" t="s">
        <v>19</v>
      </c>
      <c r="I21" s="1" t="s">
        <v>142</v>
      </c>
      <c r="J21" s="1" t="s">
        <v>143</v>
      </c>
      <c r="K21" s="1" t="str">
        <f>VLOOKUP(J21,'IU Major Match'!$D$2:$E$65,2,FALSE)</f>
        <v xml:space="preserve">Major exists in IU </v>
      </c>
      <c r="L21" s="1">
        <v>81224252</v>
      </c>
      <c r="M21" s="1" t="s">
        <v>84</v>
      </c>
      <c r="N21" s="11">
        <v>99</v>
      </c>
      <c r="O21" s="11">
        <v>0</v>
      </c>
      <c r="P21" s="11">
        <v>12</v>
      </c>
      <c r="Q21" s="11">
        <v>3</v>
      </c>
      <c r="R21" s="5">
        <f t="shared" si="0"/>
        <v>0.12121212121212122</v>
      </c>
      <c r="S21" s="13" t="str">
        <f t="shared" si="1"/>
        <v>=&lt;50</v>
      </c>
      <c r="T21" s="14">
        <f t="shared" si="2"/>
        <v>1</v>
      </c>
      <c r="U21" s="14">
        <f t="shared" si="3"/>
        <v>0.5</v>
      </c>
    </row>
    <row r="22" spans="1:21" x14ac:dyDescent="0.25">
      <c r="A22" s="1">
        <v>62330334</v>
      </c>
      <c r="B22" s="1">
        <v>206358</v>
      </c>
      <c r="C22" s="1" t="s">
        <v>24</v>
      </c>
      <c r="D22" s="1" t="s">
        <v>70</v>
      </c>
      <c r="E22" s="1" t="s">
        <v>157</v>
      </c>
      <c r="F22" s="1" t="s">
        <v>76</v>
      </c>
      <c r="G22" s="1" t="s">
        <v>18</v>
      </c>
      <c r="H22" s="1" t="s">
        <v>19</v>
      </c>
      <c r="I22" s="1" t="s">
        <v>82</v>
      </c>
      <c r="J22" s="1" t="s">
        <v>83</v>
      </c>
      <c r="K22" s="1" t="str">
        <f>VLOOKUP(J22,'IU Major Match'!$D$2:$E$65,2,FALSE)</f>
        <v>Can be Transferred to Bachelor of Engineering</v>
      </c>
      <c r="L22" s="1">
        <v>96181890616</v>
      </c>
      <c r="M22" s="1" t="s">
        <v>90</v>
      </c>
      <c r="N22" s="11">
        <v>108</v>
      </c>
      <c r="O22" s="11">
        <v>62</v>
      </c>
      <c r="P22" s="11">
        <v>15</v>
      </c>
      <c r="Q22" s="11">
        <v>31</v>
      </c>
      <c r="R22" s="5">
        <f t="shared" si="0"/>
        <v>0.71296296296296291</v>
      </c>
      <c r="S22" s="13" t="str">
        <f t="shared" si="1"/>
        <v>&gt;50</v>
      </c>
      <c r="T22" s="14">
        <f t="shared" si="2"/>
        <v>3</v>
      </c>
      <c r="U22" s="14">
        <f t="shared" si="3"/>
        <v>1.5</v>
      </c>
    </row>
    <row r="23" spans="1:21" x14ac:dyDescent="0.25">
      <c r="A23" s="1">
        <v>62230414</v>
      </c>
      <c r="B23" s="1">
        <v>195326</v>
      </c>
      <c r="C23" s="1" t="s">
        <v>24</v>
      </c>
      <c r="D23" s="1" t="s">
        <v>42</v>
      </c>
      <c r="E23" s="1" t="s">
        <v>158</v>
      </c>
      <c r="F23" s="1" t="s">
        <v>76</v>
      </c>
      <c r="G23" s="1" t="s">
        <v>23</v>
      </c>
      <c r="H23" s="1" t="s">
        <v>19</v>
      </c>
      <c r="I23" s="1" t="s">
        <v>159</v>
      </c>
      <c r="J23" s="1" t="s">
        <v>160</v>
      </c>
      <c r="K23" s="1" t="str">
        <f>VLOOKUP(J23,'IU Major Match'!$D$2:$E$65,2,FALSE)</f>
        <v xml:space="preserve">Major exists in IU </v>
      </c>
      <c r="L23" s="1">
        <v>96170778733</v>
      </c>
      <c r="M23" s="1" t="s">
        <v>153</v>
      </c>
      <c r="N23" s="11">
        <v>99</v>
      </c>
      <c r="O23" s="11">
        <v>64</v>
      </c>
      <c r="P23" s="11">
        <v>10</v>
      </c>
      <c r="Q23" s="11">
        <v>25</v>
      </c>
      <c r="R23" s="5">
        <f t="shared" si="0"/>
        <v>0.74747474747474751</v>
      </c>
      <c r="S23" s="13" t="str">
        <f t="shared" si="1"/>
        <v>&gt;50</v>
      </c>
      <c r="T23" s="14">
        <f t="shared" si="2"/>
        <v>2</v>
      </c>
      <c r="U23" s="14">
        <f t="shared" si="3"/>
        <v>1</v>
      </c>
    </row>
    <row r="24" spans="1:21" x14ac:dyDescent="0.25">
      <c r="A24" s="1">
        <v>62110124</v>
      </c>
      <c r="B24" s="1">
        <v>166193</v>
      </c>
      <c r="C24" s="1" t="s">
        <v>24</v>
      </c>
      <c r="D24" s="1" t="s">
        <v>27</v>
      </c>
      <c r="E24" s="1" t="s">
        <v>161</v>
      </c>
      <c r="F24" s="1" t="s">
        <v>76</v>
      </c>
      <c r="G24" s="1" t="s">
        <v>93</v>
      </c>
      <c r="H24" s="1" t="s">
        <v>19</v>
      </c>
      <c r="I24" s="1" t="s">
        <v>94</v>
      </c>
      <c r="J24" s="1" t="s">
        <v>95</v>
      </c>
      <c r="K24" s="1" t="str">
        <f>VLOOKUP(J24,'IU Major Match'!$D$2:$E$65,2,FALSE)</f>
        <v xml:space="preserve">Major exists in IU </v>
      </c>
      <c r="L24" s="1">
        <v>70617600</v>
      </c>
      <c r="M24" s="1" t="s">
        <v>162</v>
      </c>
      <c r="N24" s="11">
        <v>99</v>
      </c>
      <c r="O24" s="11">
        <v>48</v>
      </c>
      <c r="P24" s="11">
        <v>12</v>
      </c>
      <c r="Q24" s="11">
        <v>39</v>
      </c>
      <c r="R24" s="5">
        <f t="shared" si="0"/>
        <v>0.60606060606060608</v>
      </c>
      <c r="S24" s="13" t="str">
        <f t="shared" si="1"/>
        <v>&gt;50</v>
      </c>
      <c r="T24" s="14">
        <f t="shared" si="2"/>
        <v>3</v>
      </c>
      <c r="U24" s="14">
        <f t="shared" si="3"/>
        <v>1.5</v>
      </c>
    </row>
    <row r="25" spans="1:21" x14ac:dyDescent="0.25">
      <c r="A25" s="1">
        <v>62530119</v>
      </c>
      <c r="B25" s="1">
        <v>221081</v>
      </c>
      <c r="C25" s="1" t="s">
        <v>24</v>
      </c>
      <c r="D25" s="1" t="s">
        <v>16</v>
      </c>
      <c r="E25" s="1" t="s">
        <v>163</v>
      </c>
      <c r="F25" s="1" t="s">
        <v>76</v>
      </c>
      <c r="G25" s="1" t="s">
        <v>18</v>
      </c>
      <c r="H25" s="1" t="s">
        <v>19</v>
      </c>
      <c r="I25" s="1" t="s">
        <v>164</v>
      </c>
      <c r="J25" s="1" t="s">
        <v>165</v>
      </c>
      <c r="K25" s="1" t="str">
        <f>VLOOKUP(J25,'IU Major Match'!$D$2:$E$65,2,FALSE)</f>
        <v>Can be Transferred to Bachelor of Engineering</v>
      </c>
      <c r="L25" s="1">
        <v>96176814942</v>
      </c>
      <c r="M25" s="1" t="s">
        <v>99</v>
      </c>
      <c r="N25" s="11">
        <v>108</v>
      </c>
      <c r="O25" s="11">
        <v>13</v>
      </c>
      <c r="P25" s="11">
        <v>15</v>
      </c>
      <c r="Q25" s="11">
        <v>80</v>
      </c>
      <c r="R25" s="5">
        <f t="shared" si="0"/>
        <v>0.25925925925925924</v>
      </c>
      <c r="S25" s="13" t="str">
        <f t="shared" si="1"/>
        <v>=&lt;50</v>
      </c>
      <c r="T25" s="14">
        <f t="shared" si="2"/>
        <v>6</v>
      </c>
      <c r="U25" s="14">
        <f t="shared" si="3"/>
        <v>3</v>
      </c>
    </row>
    <row r="26" spans="1:21" x14ac:dyDescent="0.25">
      <c r="A26" s="1">
        <v>62230290</v>
      </c>
      <c r="B26" s="1">
        <v>191040</v>
      </c>
      <c r="C26" s="1" t="s">
        <v>24</v>
      </c>
      <c r="D26" s="1" t="s">
        <v>166</v>
      </c>
      <c r="E26" s="1" t="s">
        <v>167</v>
      </c>
      <c r="F26" s="1" t="s">
        <v>76</v>
      </c>
      <c r="G26" s="1" t="s">
        <v>93</v>
      </c>
      <c r="H26" s="1" t="s">
        <v>19</v>
      </c>
      <c r="I26" s="1" t="s">
        <v>168</v>
      </c>
      <c r="J26" s="1" t="s">
        <v>169</v>
      </c>
      <c r="K26" s="1" t="str">
        <f>VLOOKUP(J26,'IU Major Match'!$D$2:$E$65,2,FALSE)</f>
        <v>Major Dont exists in IU</v>
      </c>
      <c r="L26" s="1">
        <v>81356838</v>
      </c>
      <c r="M26" s="1" t="s">
        <v>153</v>
      </c>
      <c r="N26" s="11">
        <v>99</v>
      </c>
      <c r="O26" s="11">
        <v>51</v>
      </c>
      <c r="P26" s="11">
        <v>12</v>
      </c>
      <c r="Q26" s="11">
        <v>36</v>
      </c>
      <c r="R26" s="5">
        <f t="shared" si="0"/>
        <v>0.63636363636363635</v>
      </c>
      <c r="S26" s="13" t="str">
        <f t="shared" si="1"/>
        <v>&gt;50</v>
      </c>
      <c r="T26" s="14">
        <f t="shared" si="2"/>
        <v>3</v>
      </c>
      <c r="U26" s="14">
        <f t="shared" si="3"/>
        <v>1.5</v>
      </c>
    </row>
    <row r="27" spans="1:21" x14ac:dyDescent="0.25">
      <c r="A27" s="1">
        <v>62430225</v>
      </c>
      <c r="B27" s="1">
        <v>213408</v>
      </c>
      <c r="C27" s="1" t="s">
        <v>24</v>
      </c>
      <c r="D27" s="1" t="s">
        <v>170</v>
      </c>
      <c r="E27" s="1" t="s">
        <v>167</v>
      </c>
      <c r="F27" s="1" t="s">
        <v>76</v>
      </c>
      <c r="G27" s="1" t="s">
        <v>18</v>
      </c>
      <c r="H27" s="1" t="s">
        <v>19</v>
      </c>
      <c r="I27" s="1" t="s">
        <v>171</v>
      </c>
      <c r="J27" s="1" t="s">
        <v>172</v>
      </c>
      <c r="K27" s="1" t="str">
        <f>VLOOKUP(J27,'IU Major Match'!$D$2:$E$65,2,FALSE)</f>
        <v>Can be Transferred to Bachelor of Engineering</v>
      </c>
      <c r="L27" s="1">
        <v>81297377</v>
      </c>
      <c r="M27" s="1" t="s">
        <v>113</v>
      </c>
      <c r="N27" s="11">
        <v>108</v>
      </c>
      <c r="O27" s="11">
        <v>19</v>
      </c>
      <c r="P27" s="11">
        <v>12</v>
      </c>
      <c r="Q27" s="11">
        <v>77</v>
      </c>
      <c r="R27" s="5">
        <f t="shared" si="0"/>
        <v>0.28703703703703703</v>
      </c>
      <c r="S27" s="13" t="str">
        <f t="shared" si="1"/>
        <v>=&lt;50</v>
      </c>
      <c r="T27" s="14">
        <f t="shared" si="2"/>
        <v>6</v>
      </c>
      <c r="U27" s="14">
        <f t="shared" si="3"/>
        <v>3</v>
      </c>
    </row>
    <row r="28" spans="1:21" x14ac:dyDescent="0.25">
      <c r="A28" s="1">
        <v>62230268</v>
      </c>
      <c r="B28" s="1">
        <v>189160</v>
      </c>
      <c r="C28" s="1" t="s">
        <v>173</v>
      </c>
      <c r="D28" s="1" t="s">
        <v>16</v>
      </c>
      <c r="E28" s="1" t="s">
        <v>174</v>
      </c>
      <c r="F28" s="1" t="s">
        <v>76</v>
      </c>
      <c r="G28" s="1" t="s">
        <v>23</v>
      </c>
      <c r="H28" s="1" t="s">
        <v>19</v>
      </c>
      <c r="I28" s="1" t="s">
        <v>103</v>
      </c>
      <c r="J28" s="1" t="s">
        <v>104</v>
      </c>
      <c r="K28" s="1" t="str">
        <f>VLOOKUP(J28,'IU Major Match'!$D$2:$E$65,2,FALSE)</f>
        <v xml:space="preserve">Major exists in IU </v>
      </c>
      <c r="L28" s="1">
        <v>76493266</v>
      </c>
      <c r="M28" s="1" t="s">
        <v>153</v>
      </c>
      <c r="N28" s="11">
        <v>100</v>
      </c>
      <c r="O28" s="11">
        <v>69</v>
      </c>
      <c r="P28" s="11">
        <v>16</v>
      </c>
      <c r="Q28" s="11">
        <v>15</v>
      </c>
      <c r="R28" s="5">
        <f t="shared" si="0"/>
        <v>0.85</v>
      </c>
      <c r="S28" s="13" t="str">
        <f t="shared" si="1"/>
        <v>&gt;50</v>
      </c>
      <c r="T28" s="14">
        <f t="shared" si="2"/>
        <v>1</v>
      </c>
      <c r="U28" s="14">
        <f t="shared" si="3"/>
        <v>0.5</v>
      </c>
    </row>
    <row r="29" spans="1:21" x14ac:dyDescent="0.25">
      <c r="A29" s="1">
        <v>62310025</v>
      </c>
      <c r="B29" s="1">
        <v>197169</v>
      </c>
      <c r="C29" s="1" t="s">
        <v>175</v>
      </c>
      <c r="D29" s="1" t="s">
        <v>176</v>
      </c>
      <c r="E29" s="1" t="s">
        <v>177</v>
      </c>
      <c r="F29" s="1" t="s">
        <v>76</v>
      </c>
      <c r="G29" s="1" t="s">
        <v>23</v>
      </c>
      <c r="H29" s="1" t="s">
        <v>19</v>
      </c>
      <c r="I29" s="1" t="s">
        <v>88</v>
      </c>
      <c r="J29" s="1" t="s">
        <v>89</v>
      </c>
      <c r="K29" s="1" t="str">
        <f>VLOOKUP(J29,'IU Major Match'!$D$2:$E$65,2,FALSE)</f>
        <v xml:space="preserve">Major exists in IU </v>
      </c>
      <c r="L29" s="1">
        <v>76451793</v>
      </c>
      <c r="M29" s="1" t="s">
        <v>178</v>
      </c>
      <c r="N29" s="11">
        <v>99</v>
      </c>
      <c r="O29" s="11">
        <v>66</v>
      </c>
      <c r="P29" s="11">
        <v>6</v>
      </c>
      <c r="Q29" s="11">
        <v>27</v>
      </c>
      <c r="R29" s="5">
        <f t="shared" si="0"/>
        <v>0.72727272727272729</v>
      </c>
      <c r="S29" s="13" t="str">
        <f t="shared" si="1"/>
        <v>&gt;50</v>
      </c>
      <c r="T29" s="14">
        <f t="shared" si="2"/>
        <v>2</v>
      </c>
      <c r="U29" s="14">
        <f t="shared" si="3"/>
        <v>1</v>
      </c>
    </row>
    <row r="30" spans="1:21" x14ac:dyDescent="0.25">
      <c r="A30" s="1">
        <v>62330316</v>
      </c>
      <c r="B30" s="1">
        <v>205843</v>
      </c>
      <c r="C30" s="1" t="s">
        <v>179</v>
      </c>
      <c r="D30" s="1" t="s">
        <v>180</v>
      </c>
      <c r="E30" s="1" t="s">
        <v>181</v>
      </c>
      <c r="F30" s="1" t="s">
        <v>76</v>
      </c>
      <c r="G30" s="1" t="s">
        <v>93</v>
      </c>
      <c r="H30" s="1" t="s">
        <v>19</v>
      </c>
      <c r="I30" s="1" t="s">
        <v>94</v>
      </c>
      <c r="J30" s="1" t="s">
        <v>95</v>
      </c>
      <c r="K30" s="1" t="str">
        <f>VLOOKUP(J30,'IU Major Match'!$D$2:$E$65,2,FALSE)</f>
        <v xml:space="preserve">Major exists in IU </v>
      </c>
      <c r="L30" s="1">
        <v>70429175</v>
      </c>
      <c r="M30" s="1" t="s">
        <v>90</v>
      </c>
      <c r="N30" s="11">
        <v>99</v>
      </c>
      <c r="O30" s="11">
        <v>84</v>
      </c>
      <c r="P30" s="11">
        <v>15</v>
      </c>
      <c r="Q30" s="11">
        <v>0</v>
      </c>
      <c r="R30" s="5">
        <f t="shared" si="0"/>
        <v>1</v>
      </c>
      <c r="S30" s="13" t="str">
        <f t="shared" si="1"/>
        <v>&gt;50</v>
      </c>
      <c r="T30" s="14">
        <f t="shared" si="2"/>
        <v>0</v>
      </c>
      <c r="U30" s="14">
        <f t="shared" si="3"/>
        <v>0</v>
      </c>
    </row>
    <row r="31" spans="1:21" x14ac:dyDescent="0.25">
      <c r="A31" s="1">
        <v>62530141</v>
      </c>
      <c r="B31" s="1">
        <v>222158</v>
      </c>
      <c r="C31" s="1" t="s">
        <v>179</v>
      </c>
      <c r="D31" s="1" t="s">
        <v>182</v>
      </c>
      <c r="E31" s="1" t="s">
        <v>183</v>
      </c>
      <c r="F31" s="1" t="s">
        <v>76</v>
      </c>
      <c r="G31" s="1" t="s">
        <v>93</v>
      </c>
      <c r="H31" s="1" t="s">
        <v>19</v>
      </c>
      <c r="I31" s="1" t="s">
        <v>184</v>
      </c>
      <c r="J31" s="1" t="s">
        <v>185</v>
      </c>
      <c r="K31" s="1" t="str">
        <f>VLOOKUP(J31,'IU Major Match'!$D$2:$E$65,2,FALSE)</f>
        <v>Major Dont exists in IU</v>
      </c>
      <c r="L31" s="1">
        <v>71909524</v>
      </c>
      <c r="M31" s="1" t="s">
        <v>99</v>
      </c>
      <c r="N31" s="11">
        <v>99</v>
      </c>
      <c r="O31" s="11">
        <v>0</v>
      </c>
      <c r="P31" s="11">
        <v>9</v>
      </c>
      <c r="Q31" s="11">
        <v>90</v>
      </c>
      <c r="R31" s="5">
        <f t="shared" si="0"/>
        <v>9.0909090909090912E-2</v>
      </c>
      <c r="S31" s="13" t="str">
        <f t="shared" si="1"/>
        <v>=&lt;50</v>
      </c>
      <c r="T31" s="14">
        <f t="shared" si="2"/>
        <v>6</v>
      </c>
      <c r="U31" s="14">
        <f t="shared" si="3"/>
        <v>3</v>
      </c>
    </row>
    <row r="32" spans="1:21" x14ac:dyDescent="0.25">
      <c r="A32" s="1">
        <v>62330286</v>
      </c>
      <c r="B32" s="1">
        <v>205290</v>
      </c>
      <c r="C32" s="1" t="s">
        <v>186</v>
      </c>
      <c r="D32" s="1" t="s">
        <v>187</v>
      </c>
      <c r="E32" s="1" t="s">
        <v>188</v>
      </c>
      <c r="F32" s="1" t="s">
        <v>76</v>
      </c>
      <c r="G32" s="1" t="s">
        <v>93</v>
      </c>
      <c r="H32" s="1" t="s">
        <v>19</v>
      </c>
      <c r="I32" s="1" t="s">
        <v>168</v>
      </c>
      <c r="J32" s="1" t="s">
        <v>169</v>
      </c>
      <c r="K32" s="1" t="str">
        <f>VLOOKUP(J32,'IU Major Match'!$D$2:$E$65,2,FALSE)</f>
        <v>Major Dont exists in IU</v>
      </c>
      <c r="L32" s="1">
        <v>76357054</v>
      </c>
      <c r="M32" s="1" t="s">
        <v>90</v>
      </c>
      <c r="N32" s="11">
        <v>99</v>
      </c>
      <c r="O32" s="11">
        <v>78</v>
      </c>
      <c r="P32" s="11">
        <v>15</v>
      </c>
      <c r="Q32" s="11">
        <v>6</v>
      </c>
      <c r="R32" s="5">
        <f t="shared" si="0"/>
        <v>0.93939393939393945</v>
      </c>
      <c r="S32" s="13" t="str">
        <f t="shared" si="1"/>
        <v>&gt;50</v>
      </c>
      <c r="T32" s="14">
        <f t="shared" si="2"/>
        <v>1</v>
      </c>
      <c r="U32" s="14">
        <f t="shared" si="3"/>
        <v>0.5</v>
      </c>
    </row>
    <row r="33" spans="1:21" x14ac:dyDescent="0.25">
      <c r="A33" s="1">
        <v>62110101</v>
      </c>
      <c r="B33" s="1">
        <v>166232</v>
      </c>
      <c r="C33" s="1" t="s">
        <v>189</v>
      </c>
      <c r="D33" s="1" t="s">
        <v>190</v>
      </c>
      <c r="E33" s="1" t="s">
        <v>191</v>
      </c>
      <c r="F33" s="1" t="s">
        <v>76</v>
      </c>
      <c r="G33" s="1" t="s">
        <v>23</v>
      </c>
      <c r="H33" s="1" t="s">
        <v>19</v>
      </c>
      <c r="I33" s="1" t="s">
        <v>103</v>
      </c>
      <c r="J33" s="1" t="s">
        <v>104</v>
      </c>
      <c r="K33" s="1" t="str">
        <f>VLOOKUP(J33,'IU Major Match'!$D$2:$E$65,2,FALSE)</f>
        <v xml:space="preserve">Major exists in IU </v>
      </c>
      <c r="L33" s="1">
        <v>76308350</v>
      </c>
      <c r="M33" s="1" t="s">
        <v>162</v>
      </c>
      <c r="N33" s="11">
        <v>100</v>
      </c>
      <c r="O33" s="11">
        <v>81</v>
      </c>
      <c r="P33" s="11">
        <v>6</v>
      </c>
      <c r="Q33" s="11">
        <v>13</v>
      </c>
      <c r="R33" s="5">
        <f t="shared" si="0"/>
        <v>0.87</v>
      </c>
      <c r="S33" s="13" t="str">
        <f t="shared" si="1"/>
        <v>&gt;50</v>
      </c>
      <c r="T33" s="14">
        <f t="shared" si="2"/>
        <v>1</v>
      </c>
      <c r="U33" s="14">
        <f t="shared" si="3"/>
        <v>0.5</v>
      </c>
    </row>
    <row r="34" spans="1:21" x14ac:dyDescent="0.25">
      <c r="A34" s="1">
        <v>62530065</v>
      </c>
      <c r="B34" s="1">
        <v>219803</v>
      </c>
      <c r="C34" s="1" t="s">
        <v>192</v>
      </c>
      <c r="D34" s="1" t="s">
        <v>24</v>
      </c>
      <c r="E34" s="1" t="s">
        <v>193</v>
      </c>
      <c r="F34" s="1" t="s">
        <v>76</v>
      </c>
      <c r="G34" s="1" t="s">
        <v>93</v>
      </c>
      <c r="H34" s="1" t="s">
        <v>19</v>
      </c>
      <c r="I34" s="1" t="s">
        <v>184</v>
      </c>
      <c r="J34" s="1" t="s">
        <v>185</v>
      </c>
      <c r="K34" s="1" t="str">
        <f>VLOOKUP(J34,'IU Major Match'!$D$2:$E$65,2,FALSE)</f>
        <v>Major Dont exists in IU</v>
      </c>
      <c r="L34" s="1">
        <v>96171588407</v>
      </c>
      <c r="M34" s="1" t="s">
        <v>99</v>
      </c>
      <c r="N34" s="11">
        <v>99</v>
      </c>
      <c r="O34" s="11">
        <v>9</v>
      </c>
      <c r="P34" s="11">
        <v>12</v>
      </c>
      <c r="Q34" s="11">
        <v>78</v>
      </c>
      <c r="R34" s="5">
        <f t="shared" si="0"/>
        <v>0.21212121212121213</v>
      </c>
      <c r="S34" s="13" t="str">
        <f t="shared" si="1"/>
        <v>=&lt;50</v>
      </c>
      <c r="T34" s="14">
        <f t="shared" si="2"/>
        <v>6</v>
      </c>
      <c r="U34" s="14">
        <f t="shared" si="3"/>
        <v>3</v>
      </c>
    </row>
    <row r="35" spans="1:21" x14ac:dyDescent="0.25">
      <c r="A35" s="1">
        <v>62330146</v>
      </c>
      <c r="B35" s="1">
        <v>199840</v>
      </c>
      <c r="C35" s="1" t="s">
        <v>194</v>
      </c>
      <c r="D35" s="1" t="s">
        <v>195</v>
      </c>
      <c r="E35" s="1" t="s">
        <v>196</v>
      </c>
      <c r="F35" s="1" t="s">
        <v>76</v>
      </c>
      <c r="G35" s="1" t="s">
        <v>23</v>
      </c>
      <c r="H35" s="1" t="s">
        <v>19</v>
      </c>
      <c r="I35" s="1" t="s">
        <v>159</v>
      </c>
      <c r="J35" s="1" t="s">
        <v>160</v>
      </c>
      <c r="K35" s="1" t="str">
        <f>VLOOKUP(J35,'IU Major Match'!$D$2:$E$65,2,FALSE)</f>
        <v xml:space="preserve">Major exists in IU </v>
      </c>
      <c r="L35" s="1">
        <v>96181026536</v>
      </c>
      <c r="M35" s="1" t="s">
        <v>90</v>
      </c>
      <c r="N35" s="11">
        <v>99</v>
      </c>
      <c r="O35" s="11">
        <v>34</v>
      </c>
      <c r="P35" s="11">
        <v>12</v>
      </c>
      <c r="Q35" s="11">
        <v>53</v>
      </c>
      <c r="R35" s="5">
        <f t="shared" si="0"/>
        <v>0.46464646464646464</v>
      </c>
      <c r="S35" s="13" t="str">
        <f t="shared" si="1"/>
        <v>=&lt;50</v>
      </c>
      <c r="T35" s="14">
        <f t="shared" si="2"/>
        <v>4</v>
      </c>
      <c r="U35" s="14">
        <f t="shared" si="3"/>
        <v>2</v>
      </c>
    </row>
    <row r="36" spans="1:21" x14ac:dyDescent="0.25">
      <c r="A36" s="1">
        <v>62530073</v>
      </c>
      <c r="B36" s="1">
        <v>221916</v>
      </c>
      <c r="C36" s="1" t="s">
        <v>197</v>
      </c>
      <c r="D36" s="1" t="s">
        <v>198</v>
      </c>
      <c r="E36" s="1" t="s">
        <v>199</v>
      </c>
      <c r="F36" s="1" t="s">
        <v>76</v>
      </c>
      <c r="G36" s="1" t="s">
        <v>200</v>
      </c>
      <c r="H36" s="1" t="s">
        <v>19</v>
      </c>
      <c r="I36" s="1" t="s">
        <v>201</v>
      </c>
      <c r="J36" s="1" t="s">
        <v>202</v>
      </c>
      <c r="K36" s="1" t="str">
        <f>VLOOKUP(J36,'IU Major Match'!$D$2:$E$65,2,FALSE)</f>
        <v>Major Dont exists in IU</v>
      </c>
      <c r="L36" s="1">
        <v>76551369</v>
      </c>
      <c r="M36" s="1" t="s">
        <v>99</v>
      </c>
      <c r="N36" s="11">
        <v>65</v>
      </c>
      <c r="O36" s="11">
        <v>16</v>
      </c>
      <c r="P36" s="11">
        <v>16</v>
      </c>
      <c r="Q36" s="11">
        <v>33</v>
      </c>
      <c r="R36" s="5">
        <f t="shared" si="0"/>
        <v>0.49230769230769234</v>
      </c>
      <c r="S36" s="13" t="str">
        <f t="shared" si="1"/>
        <v>=&lt;50</v>
      </c>
      <c r="T36" s="14">
        <f t="shared" si="2"/>
        <v>3</v>
      </c>
      <c r="U36" s="14">
        <f t="shared" si="3"/>
        <v>1.5</v>
      </c>
    </row>
    <row r="37" spans="1:21" x14ac:dyDescent="0.25">
      <c r="A37" s="1">
        <v>61930104</v>
      </c>
      <c r="B37" s="1">
        <v>143238</v>
      </c>
      <c r="C37" s="1" t="s">
        <v>203</v>
      </c>
      <c r="D37" s="1" t="s">
        <v>198</v>
      </c>
      <c r="E37" s="1" t="s">
        <v>204</v>
      </c>
      <c r="F37" s="1" t="s">
        <v>76</v>
      </c>
      <c r="G37" s="1" t="s">
        <v>18</v>
      </c>
      <c r="H37" s="1" t="s">
        <v>19</v>
      </c>
      <c r="I37" s="1" t="s">
        <v>82</v>
      </c>
      <c r="J37" s="1" t="s">
        <v>83</v>
      </c>
      <c r="K37" s="1" t="str">
        <f>VLOOKUP(J37,'IU Major Match'!$D$2:$E$65,2,FALSE)</f>
        <v>Can be Transferred to Bachelor of Engineering</v>
      </c>
      <c r="L37" s="1">
        <v>96176650486</v>
      </c>
      <c r="M37" s="1" t="s">
        <v>205</v>
      </c>
      <c r="N37" s="11">
        <v>108</v>
      </c>
      <c r="O37" s="11">
        <v>85</v>
      </c>
      <c r="P37" s="11">
        <v>11</v>
      </c>
      <c r="Q37" s="11">
        <v>12</v>
      </c>
      <c r="R37" s="5">
        <f t="shared" si="0"/>
        <v>0.88888888888888884</v>
      </c>
      <c r="S37" s="13" t="str">
        <f t="shared" si="1"/>
        <v>&gt;50</v>
      </c>
      <c r="T37" s="14">
        <f t="shared" si="2"/>
        <v>1</v>
      </c>
      <c r="U37" s="14">
        <f t="shared" si="3"/>
        <v>0.5</v>
      </c>
    </row>
    <row r="38" spans="1:21" x14ac:dyDescent="0.25">
      <c r="A38" s="1">
        <v>62530176</v>
      </c>
      <c r="B38" s="1">
        <v>223949</v>
      </c>
      <c r="C38" s="1" t="s">
        <v>206</v>
      </c>
      <c r="D38" s="1" t="s">
        <v>119</v>
      </c>
      <c r="E38" s="1" t="s">
        <v>207</v>
      </c>
      <c r="F38" s="1" t="s">
        <v>76</v>
      </c>
      <c r="G38" s="1" t="s">
        <v>23</v>
      </c>
      <c r="H38" s="1" t="s">
        <v>19</v>
      </c>
      <c r="I38" s="1" t="s">
        <v>208</v>
      </c>
      <c r="J38" s="1" t="s">
        <v>209</v>
      </c>
      <c r="K38" s="1" t="str">
        <f>VLOOKUP(J38,'IU Major Match'!$D$2:$E$65,2,FALSE)</f>
        <v>Major Dont exists in IU</v>
      </c>
      <c r="L38" s="1">
        <v>9613669717</v>
      </c>
      <c r="M38" s="1" t="s">
        <v>99</v>
      </c>
      <c r="N38" s="11">
        <v>99</v>
      </c>
      <c r="O38" s="11">
        <v>3</v>
      </c>
      <c r="P38" s="11">
        <v>13</v>
      </c>
      <c r="Q38" s="11">
        <v>94</v>
      </c>
      <c r="R38" s="5">
        <f t="shared" si="0"/>
        <v>0.16161616161616163</v>
      </c>
      <c r="S38" s="13" t="str">
        <f t="shared" si="1"/>
        <v>=&lt;50</v>
      </c>
      <c r="T38" s="14">
        <f t="shared" si="2"/>
        <v>7</v>
      </c>
      <c r="U38" s="14">
        <f t="shared" si="3"/>
        <v>3.5</v>
      </c>
    </row>
    <row r="39" spans="1:21" x14ac:dyDescent="0.25">
      <c r="A39" s="1">
        <v>62430328</v>
      </c>
      <c r="B39" s="1">
        <v>216903</v>
      </c>
      <c r="C39" s="1" t="s">
        <v>210</v>
      </c>
      <c r="D39" s="1" t="s">
        <v>211</v>
      </c>
      <c r="E39" s="1" t="s">
        <v>212</v>
      </c>
      <c r="F39" s="1" t="s">
        <v>76</v>
      </c>
      <c r="G39" s="1" t="s">
        <v>93</v>
      </c>
      <c r="H39" s="1" t="s">
        <v>19</v>
      </c>
      <c r="I39" s="1" t="s">
        <v>111</v>
      </c>
      <c r="J39" s="1" t="s">
        <v>112</v>
      </c>
      <c r="K39" s="1" t="str">
        <f>VLOOKUP(J39,'IU Major Match'!$D$2:$E$65,2,FALSE)</f>
        <v xml:space="preserve">Major exists in IU </v>
      </c>
      <c r="L39" s="1">
        <v>71792104</v>
      </c>
      <c r="M39" s="1" t="s">
        <v>113</v>
      </c>
      <c r="N39" s="11">
        <v>99</v>
      </c>
      <c r="O39" s="11">
        <v>30</v>
      </c>
      <c r="P39" s="11">
        <v>15</v>
      </c>
      <c r="Q39" s="11">
        <v>54</v>
      </c>
      <c r="R39" s="5">
        <f t="shared" si="0"/>
        <v>0.45454545454545453</v>
      </c>
      <c r="S39" s="13" t="str">
        <f t="shared" si="1"/>
        <v>=&lt;50</v>
      </c>
      <c r="T39" s="14">
        <f t="shared" si="2"/>
        <v>4</v>
      </c>
      <c r="U39" s="14">
        <f t="shared" si="3"/>
        <v>2</v>
      </c>
    </row>
    <row r="40" spans="1:21" x14ac:dyDescent="0.25">
      <c r="A40" s="1">
        <v>62610022</v>
      </c>
      <c r="B40" s="1">
        <v>227378</v>
      </c>
      <c r="C40" s="1" t="s">
        <v>213</v>
      </c>
      <c r="D40" s="1" t="s">
        <v>214</v>
      </c>
      <c r="E40" s="1" t="s">
        <v>215</v>
      </c>
      <c r="F40" s="1" t="s">
        <v>76</v>
      </c>
      <c r="G40" s="1" t="s">
        <v>93</v>
      </c>
      <c r="H40" s="1" t="s">
        <v>19</v>
      </c>
      <c r="I40" s="1" t="s">
        <v>216</v>
      </c>
      <c r="J40" s="1" t="s">
        <v>217</v>
      </c>
      <c r="K40" s="1" t="str">
        <f>VLOOKUP(J40,'IU Major Match'!$D$2:$E$65,2,FALSE)</f>
        <v xml:space="preserve">Major exists in IU </v>
      </c>
      <c r="L40" s="1">
        <v>96171715182</v>
      </c>
      <c r="M40" s="1" t="s">
        <v>84</v>
      </c>
      <c r="N40" s="11">
        <v>99</v>
      </c>
      <c r="O40" s="11">
        <v>6</v>
      </c>
      <c r="P40" s="11">
        <v>7</v>
      </c>
      <c r="Q40" s="11">
        <v>99</v>
      </c>
      <c r="R40" s="5">
        <f t="shared" si="0"/>
        <v>0.13131313131313133</v>
      </c>
      <c r="S40" s="13" t="str">
        <f t="shared" si="1"/>
        <v>=&lt;50</v>
      </c>
      <c r="T40" s="14">
        <f t="shared" si="2"/>
        <v>7</v>
      </c>
      <c r="U40" s="14">
        <f t="shared" si="3"/>
        <v>3.5</v>
      </c>
    </row>
    <row r="41" spans="1:21" x14ac:dyDescent="0.25">
      <c r="A41" s="1">
        <v>62430076</v>
      </c>
      <c r="B41" s="1">
        <v>209728</v>
      </c>
      <c r="C41" s="1" t="s">
        <v>213</v>
      </c>
      <c r="D41" s="1" t="s">
        <v>218</v>
      </c>
      <c r="E41" s="1" t="s">
        <v>219</v>
      </c>
      <c r="F41" s="1" t="s">
        <v>76</v>
      </c>
      <c r="G41" s="1" t="s">
        <v>93</v>
      </c>
      <c r="H41" s="1" t="s">
        <v>19</v>
      </c>
      <c r="I41" s="1" t="s">
        <v>133</v>
      </c>
      <c r="J41" s="1" t="s">
        <v>134</v>
      </c>
      <c r="K41" s="1" t="str">
        <f>VLOOKUP(J41,'IU Major Match'!$D$2:$E$65,2,FALSE)</f>
        <v xml:space="preserve">Major exists in IU </v>
      </c>
      <c r="L41" s="1">
        <v>81301395</v>
      </c>
      <c r="M41" s="1" t="s">
        <v>113</v>
      </c>
      <c r="N41" s="11">
        <v>99</v>
      </c>
      <c r="O41" s="11">
        <v>18</v>
      </c>
      <c r="P41" s="11">
        <v>12</v>
      </c>
      <c r="Q41" s="11">
        <v>69</v>
      </c>
      <c r="R41" s="5">
        <f t="shared" si="0"/>
        <v>0.30303030303030304</v>
      </c>
      <c r="S41" s="13" t="str">
        <f t="shared" si="1"/>
        <v>=&lt;50</v>
      </c>
      <c r="T41" s="14">
        <f t="shared" si="2"/>
        <v>5</v>
      </c>
      <c r="U41" s="14">
        <f t="shared" si="3"/>
        <v>2.5</v>
      </c>
    </row>
    <row r="42" spans="1:21" x14ac:dyDescent="0.25">
      <c r="A42" s="1">
        <v>62330309</v>
      </c>
      <c r="B42" s="1">
        <v>205889</v>
      </c>
      <c r="C42" s="1" t="s">
        <v>220</v>
      </c>
      <c r="D42" s="1" t="s">
        <v>221</v>
      </c>
      <c r="E42" s="1" t="s">
        <v>62</v>
      </c>
      <c r="F42" s="1" t="s">
        <v>76</v>
      </c>
      <c r="G42" s="1" t="s">
        <v>93</v>
      </c>
      <c r="H42" s="1" t="s">
        <v>19</v>
      </c>
      <c r="I42" s="1" t="s">
        <v>94</v>
      </c>
      <c r="J42" s="1" t="s">
        <v>95</v>
      </c>
      <c r="K42" s="1" t="str">
        <f>VLOOKUP(J42,'IU Major Match'!$D$2:$E$65,2,FALSE)</f>
        <v xml:space="preserve">Major exists in IU </v>
      </c>
      <c r="L42" s="1">
        <v>96176829016</v>
      </c>
      <c r="M42" s="1" t="s">
        <v>90</v>
      </c>
      <c r="N42" s="11">
        <v>99</v>
      </c>
      <c r="O42" s="11">
        <v>45</v>
      </c>
      <c r="P42" s="11">
        <v>9</v>
      </c>
      <c r="Q42" s="11">
        <v>45</v>
      </c>
      <c r="R42" s="5">
        <f t="shared" si="0"/>
        <v>0.54545454545454541</v>
      </c>
      <c r="S42" s="13" t="str">
        <f t="shared" si="1"/>
        <v>&gt;50</v>
      </c>
      <c r="T42" s="14">
        <f t="shared" si="2"/>
        <v>3</v>
      </c>
      <c r="U42" s="14">
        <f t="shared" si="3"/>
        <v>1.5</v>
      </c>
    </row>
    <row r="43" spans="1:21" x14ac:dyDescent="0.25">
      <c r="A43" s="1">
        <v>62130215</v>
      </c>
      <c r="B43" s="1">
        <v>170040</v>
      </c>
      <c r="C43" s="1" t="s">
        <v>220</v>
      </c>
      <c r="D43" s="1" t="s">
        <v>48</v>
      </c>
      <c r="E43" s="1" t="s">
        <v>222</v>
      </c>
      <c r="F43" s="1" t="s">
        <v>76</v>
      </c>
      <c r="G43" s="1" t="s">
        <v>23</v>
      </c>
      <c r="H43" s="1" t="s">
        <v>19</v>
      </c>
      <c r="I43" s="1" t="s">
        <v>151</v>
      </c>
      <c r="J43" s="1" t="s">
        <v>152</v>
      </c>
      <c r="K43" s="1" t="str">
        <f>VLOOKUP(J43,'IU Major Match'!$D$2:$E$65,2,FALSE)</f>
        <v>Major Dont exists in IU</v>
      </c>
      <c r="L43" s="1">
        <v>76526205</v>
      </c>
      <c r="M43" s="1" t="s">
        <v>79</v>
      </c>
      <c r="N43" s="11">
        <v>105</v>
      </c>
      <c r="O43" s="11">
        <v>57</v>
      </c>
      <c r="P43" s="11">
        <v>14</v>
      </c>
      <c r="Q43" s="11">
        <v>34</v>
      </c>
      <c r="R43" s="5">
        <f t="shared" si="0"/>
        <v>0.67619047619047623</v>
      </c>
      <c r="S43" s="13" t="str">
        <f t="shared" si="1"/>
        <v>&gt;50</v>
      </c>
      <c r="T43" s="14">
        <f t="shared" si="2"/>
        <v>3</v>
      </c>
      <c r="U43" s="14">
        <f t="shared" si="3"/>
        <v>1.5</v>
      </c>
    </row>
    <row r="44" spans="1:21" x14ac:dyDescent="0.25">
      <c r="A44" s="1">
        <v>62530157</v>
      </c>
      <c r="B44" s="1">
        <v>222430</v>
      </c>
      <c r="C44" s="1" t="s">
        <v>223</v>
      </c>
      <c r="D44" s="1" t="s">
        <v>224</v>
      </c>
      <c r="E44" s="1" t="s">
        <v>225</v>
      </c>
      <c r="F44" s="1" t="s">
        <v>76</v>
      </c>
      <c r="G44" s="1" t="s">
        <v>23</v>
      </c>
      <c r="H44" s="1" t="s">
        <v>19</v>
      </c>
      <c r="I44" s="1" t="s">
        <v>226</v>
      </c>
      <c r="J44" s="1" t="s">
        <v>227</v>
      </c>
      <c r="K44" s="1" t="str">
        <f>VLOOKUP(J44,'IU Major Match'!$D$2:$E$65,2,FALSE)</f>
        <v>Major Dont exists in IU</v>
      </c>
      <c r="L44" s="1">
        <v>81437645</v>
      </c>
      <c r="M44" s="1" t="s">
        <v>99</v>
      </c>
      <c r="N44" s="11">
        <v>99</v>
      </c>
      <c r="O44" s="11">
        <v>3</v>
      </c>
      <c r="P44" s="11">
        <v>12</v>
      </c>
      <c r="Q44" s="11">
        <v>88</v>
      </c>
      <c r="R44" s="5">
        <f t="shared" si="0"/>
        <v>0.15151515151515152</v>
      </c>
      <c r="S44" s="13" t="str">
        <f t="shared" si="1"/>
        <v>=&lt;50</v>
      </c>
      <c r="T44" s="14">
        <f t="shared" si="2"/>
        <v>6</v>
      </c>
      <c r="U44" s="14">
        <f t="shared" si="3"/>
        <v>3</v>
      </c>
    </row>
    <row r="45" spans="1:21" x14ac:dyDescent="0.25">
      <c r="A45" s="1">
        <v>62230089</v>
      </c>
      <c r="B45" s="1">
        <v>195580</v>
      </c>
      <c r="C45" s="1" t="s">
        <v>228</v>
      </c>
      <c r="D45" s="1" t="s">
        <v>131</v>
      </c>
      <c r="E45" s="1" t="s">
        <v>229</v>
      </c>
      <c r="F45" s="1" t="s">
        <v>76</v>
      </c>
      <c r="G45" s="1" t="s">
        <v>23</v>
      </c>
      <c r="H45" s="1" t="s">
        <v>19</v>
      </c>
      <c r="I45" s="1" t="s">
        <v>116</v>
      </c>
      <c r="J45" s="1" t="s">
        <v>117</v>
      </c>
      <c r="K45" s="1" t="str">
        <f>VLOOKUP(J45,'IU Major Match'!$D$2:$E$65,2,FALSE)</f>
        <v>Major Dont exists in IU</v>
      </c>
      <c r="L45" s="1">
        <v>71793296</v>
      </c>
      <c r="M45" s="1" t="s">
        <v>153</v>
      </c>
      <c r="N45" s="11">
        <v>99</v>
      </c>
      <c r="O45" s="11">
        <v>82</v>
      </c>
      <c r="P45" s="11">
        <v>17</v>
      </c>
      <c r="Q45" s="11">
        <v>0</v>
      </c>
      <c r="R45" s="5">
        <f t="shared" si="0"/>
        <v>1</v>
      </c>
      <c r="S45" s="13" t="str">
        <f t="shared" si="1"/>
        <v>&gt;50</v>
      </c>
      <c r="T45" s="14">
        <f t="shared" si="2"/>
        <v>0</v>
      </c>
      <c r="U45" s="14">
        <f t="shared" si="3"/>
        <v>0</v>
      </c>
    </row>
    <row r="46" spans="1:21" x14ac:dyDescent="0.25">
      <c r="A46" s="1">
        <v>62230345</v>
      </c>
      <c r="B46" s="1">
        <v>191770</v>
      </c>
      <c r="C46" s="1" t="s">
        <v>230</v>
      </c>
      <c r="D46" s="1" t="s">
        <v>231</v>
      </c>
      <c r="E46" s="1" t="s">
        <v>232</v>
      </c>
      <c r="F46" s="1" t="s">
        <v>76</v>
      </c>
      <c r="G46" s="1" t="s">
        <v>23</v>
      </c>
      <c r="H46" s="1" t="s">
        <v>19</v>
      </c>
      <c r="I46" s="1" t="s">
        <v>116</v>
      </c>
      <c r="J46" s="1" t="s">
        <v>117</v>
      </c>
      <c r="K46" s="1" t="str">
        <f>VLOOKUP(J46,'IU Major Match'!$D$2:$E$65,2,FALSE)</f>
        <v>Major Dont exists in IU</v>
      </c>
      <c r="L46" s="1">
        <v>79143781</v>
      </c>
      <c r="M46" s="1" t="s">
        <v>153</v>
      </c>
      <c r="N46" s="11">
        <v>99</v>
      </c>
      <c r="O46" s="11">
        <v>42</v>
      </c>
      <c r="P46" s="11">
        <v>10</v>
      </c>
      <c r="Q46" s="11">
        <v>47</v>
      </c>
      <c r="R46" s="5">
        <f t="shared" si="0"/>
        <v>0.5252525252525253</v>
      </c>
      <c r="S46" s="13" t="str">
        <f t="shared" si="1"/>
        <v>&gt;50</v>
      </c>
      <c r="T46" s="14">
        <f t="shared" si="2"/>
        <v>4</v>
      </c>
      <c r="U46" s="14">
        <f t="shared" si="3"/>
        <v>2</v>
      </c>
    </row>
    <row r="47" spans="1:21" x14ac:dyDescent="0.25">
      <c r="A47" s="1">
        <v>62430013</v>
      </c>
      <c r="B47" s="1">
        <v>209306</v>
      </c>
      <c r="C47" s="1" t="s">
        <v>233</v>
      </c>
      <c r="D47" s="1" t="s">
        <v>131</v>
      </c>
      <c r="E47" s="1" t="s">
        <v>234</v>
      </c>
      <c r="F47" s="1" t="s">
        <v>76</v>
      </c>
      <c r="G47" s="1" t="s">
        <v>23</v>
      </c>
      <c r="H47" s="1" t="s">
        <v>19</v>
      </c>
      <c r="I47" s="1" t="s">
        <v>103</v>
      </c>
      <c r="J47" s="1" t="s">
        <v>104</v>
      </c>
      <c r="K47" s="1" t="str">
        <f>VLOOKUP(J47,'IU Major Match'!$D$2:$E$65,2,FALSE)</f>
        <v xml:space="preserve">Major exists in IU </v>
      </c>
      <c r="L47" s="1">
        <v>81393185</v>
      </c>
      <c r="M47" s="1" t="s">
        <v>113</v>
      </c>
      <c r="N47" s="11">
        <v>100</v>
      </c>
      <c r="O47" s="11">
        <v>50</v>
      </c>
      <c r="P47" s="11">
        <v>15</v>
      </c>
      <c r="Q47" s="11">
        <v>35</v>
      </c>
      <c r="R47" s="5">
        <f t="shared" si="0"/>
        <v>0.65</v>
      </c>
      <c r="S47" s="13" t="str">
        <f t="shared" si="1"/>
        <v>&gt;50</v>
      </c>
      <c r="T47" s="14">
        <f t="shared" si="2"/>
        <v>3</v>
      </c>
      <c r="U47" s="14">
        <f t="shared" si="3"/>
        <v>1.5</v>
      </c>
    </row>
    <row r="48" spans="1:21" x14ac:dyDescent="0.25">
      <c r="A48" s="1">
        <v>62130463</v>
      </c>
      <c r="B48" s="1">
        <v>178196</v>
      </c>
      <c r="C48" s="1" t="s">
        <v>233</v>
      </c>
      <c r="D48" s="1" t="s">
        <v>235</v>
      </c>
      <c r="E48" s="1" t="s">
        <v>236</v>
      </c>
      <c r="F48" s="1" t="s">
        <v>76</v>
      </c>
      <c r="G48" s="1" t="s">
        <v>23</v>
      </c>
      <c r="H48" s="1" t="s">
        <v>19</v>
      </c>
      <c r="I48" s="1" t="s">
        <v>237</v>
      </c>
      <c r="J48" s="1" t="s">
        <v>238</v>
      </c>
      <c r="K48" s="1" t="str">
        <f>VLOOKUP(J48,'IU Major Match'!$D$2:$E$65,2,FALSE)</f>
        <v xml:space="preserve">Major exists in IU </v>
      </c>
      <c r="L48" s="1">
        <v>76534397</v>
      </c>
      <c r="M48" s="1" t="s">
        <v>79</v>
      </c>
      <c r="N48" s="11">
        <v>108</v>
      </c>
      <c r="O48" s="11">
        <v>96</v>
      </c>
      <c r="P48" s="11">
        <v>12</v>
      </c>
      <c r="Q48" s="11">
        <v>0</v>
      </c>
      <c r="R48" s="5">
        <f t="shared" si="0"/>
        <v>1</v>
      </c>
      <c r="S48" s="13" t="str">
        <f t="shared" si="1"/>
        <v>&gt;50</v>
      </c>
      <c r="T48" s="14">
        <f t="shared" si="2"/>
        <v>0</v>
      </c>
      <c r="U48" s="14">
        <f t="shared" si="3"/>
        <v>0</v>
      </c>
    </row>
    <row r="49" spans="1:21" x14ac:dyDescent="0.25">
      <c r="A49" s="1">
        <v>62430259</v>
      </c>
      <c r="B49" s="1">
        <v>215065</v>
      </c>
      <c r="C49" s="1" t="s">
        <v>233</v>
      </c>
      <c r="D49" s="1" t="s">
        <v>239</v>
      </c>
      <c r="E49" s="1" t="s">
        <v>236</v>
      </c>
      <c r="F49" s="1" t="s">
        <v>76</v>
      </c>
      <c r="G49" s="1" t="s">
        <v>93</v>
      </c>
      <c r="H49" s="1" t="s">
        <v>19</v>
      </c>
      <c r="I49" s="1" t="s">
        <v>94</v>
      </c>
      <c r="J49" s="1" t="s">
        <v>95</v>
      </c>
      <c r="K49" s="1" t="str">
        <f>VLOOKUP(J49,'IU Major Match'!$D$2:$E$65,2,FALSE)</f>
        <v xml:space="preserve">Major exists in IU </v>
      </c>
      <c r="L49" s="1">
        <v>76346884</v>
      </c>
      <c r="M49" s="1" t="s">
        <v>113</v>
      </c>
      <c r="N49" s="11">
        <v>99</v>
      </c>
      <c r="O49" s="11">
        <v>33</v>
      </c>
      <c r="P49" s="11">
        <v>12</v>
      </c>
      <c r="Q49" s="11">
        <v>54</v>
      </c>
      <c r="R49" s="5">
        <f t="shared" si="0"/>
        <v>0.45454545454545453</v>
      </c>
      <c r="S49" s="13" t="str">
        <f t="shared" si="1"/>
        <v>=&lt;50</v>
      </c>
      <c r="T49" s="14">
        <f t="shared" si="2"/>
        <v>4</v>
      </c>
      <c r="U49" s="14">
        <f t="shared" si="3"/>
        <v>2</v>
      </c>
    </row>
    <row r="50" spans="1:21" x14ac:dyDescent="0.25">
      <c r="A50" s="1">
        <v>62510057</v>
      </c>
      <c r="B50" s="1">
        <v>218604</v>
      </c>
      <c r="C50" s="1" t="s">
        <v>233</v>
      </c>
      <c r="D50" s="1" t="s">
        <v>240</v>
      </c>
      <c r="E50" s="1" t="s">
        <v>241</v>
      </c>
      <c r="F50" s="1" t="s">
        <v>76</v>
      </c>
      <c r="G50" s="1" t="s">
        <v>93</v>
      </c>
      <c r="H50" s="1" t="s">
        <v>19</v>
      </c>
      <c r="I50" s="1" t="s">
        <v>216</v>
      </c>
      <c r="J50" s="1" t="s">
        <v>217</v>
      </c>
      <c r="K50" s="1" t="str">
        <f>VLOOKUP(J50,'IU Major Match'!$D$2:$E$65,2,FALSE)</f>
        <v xml:space="preserve">Major exists in IU </v>
      </c>
      <c r="L50" s="1">
        <v>71808970</v>
      </c>
      <c r="M50" s="1" t="s">
        <v>242</v>
      </c>
      <c r="N50" s="11">
        <v>99</v>
      </c>
      <c r="O50" s="11">
        <v>3</v>
      </c>
      <c r="P50" s="11">
        <v>12</v>
      </c>
      <c r="Q50" s="11">
        <v>84</v>
      </c>
      <c r="R50" s="5">
        <f t="shared" si="0"/>
        <v>0.15151515151515152</v>
      </c>
      <c r="S50" s="13" t="str">
        <f t="shared" si="1"/>
        <v>=&lt;50</v>
      </c>
      <c r="T50" s="14">
        <f t="shared" si="2"/>
        <v>6</v>
      </c>
      <c r="U50" s="14">
        <f t="shared" si="3"/>
        <v>3</v>
      </c>
    </row>
    <row r="51" spans="1:21" x14ac:dyDescent="0.25">
      <c r="A51" s="1">
        <v>62430095</v>
      </c>
      <c r="B51" s="1">
        <v>210048</v>
      </c>
      <c r="C51" s="1" t="s">
        <v>233</v>
      </c>
      <c r="D51" s="1" t="s">
        <v>243</v>
      </c>
      <c r="E51" s="1" t="s">
        <v>244</v>
      </c>
      <c r="F51" s="1" t="s">
        <v>76</v>
      </c>
      <c r="G51" s="1" t="s">
        <v>18</v>
      </c>
      <c r="H51" s="1" t="s">
        <v>19</v>
      </c>
      <c r="I51" s="1" t="s">
        <v>245</v>
      </c>
      <c r="J51" s="1" t="s">
        <v>246</v>
      </c>
      <c r="K51" s="1" t="str">
        <f>VLOOKUP(J51,'IU Major Match'!$D$2:$E$65,2,FALSE)</f>
        <v>Major Dont exists in IU</v>
      </c>
      <c r="L51" s="1">
        <v>70484730</v>
      </c>
      <c r="M51" s="1" t="s">
        <v>113</v>
      </c>
      <c r="N51" s="11">
        <v>114</v>
      </c>
      <c r="O51" s="11">
        <v>21</v>
      </c>
      <c r="P51" s="11">
        <v>13</v>
      </c>
      <c r="Q51" s="11">
        <v>74</v>
      </c>
      <c r="R51" s="5">
        <f t="shared" si="0"/>
        <v>0.2982456140350877</v>
      </c>
      <c r="S51" s="13" t="str">
        <f t="shared" si="1"/>
        <v>=&lt;50</v>
      </c>
      <c r="T51" s="14">
        <f t="shared" si="2"/>
        <v>5</v>
      </c>
      <c r="U51" s="14">
        <f t="shared" si="3"/>
        <v>2.5</v>
      </c>
    </row>
    <row r="52" spans="1:21" x14ac:dyDescent="0.25">
      <c r="A52" s="1">
        <v>62430075</v>
      </c>
      <c r="B52" s="1">
        <v>211399</v>
      </c>
      <c r="C52" s="1" t="s">
        <v>233</v>
      </c>
      <c r="D52" s="1" t="s">
        <v>86</v>
      </c>
      <c r="E52" s="1" t="s">
        <v>247</v>
      </c>
      <c r="F52" s="1" t="s">
        <v>76</v>
      </c>
      <c r="G52" s="1" t="s">
        <v>93</v>
      </c>
      <c r="H52" s="1" t="s">
        <v>19</v>
      </c>
      <c r="I52" s="1" t="s">
        <v>94</v>
      </c>
      <c r="J52" s="1" t="s">
        <v>95</v>
      </c>
      <c r="K52" s="1" t="str">
        <f>VLOOKUP(J52,'IU Major Match'!$D$2:$E$65,2,FALSE)</f>
        <v xml:space="preserve">Major exists in IU </v>
      </c>
      <c r="L52" s="1">
        <v>71763478</v>
      </c>
      <c r="M52" s="1" t="s">
        <v>113</v>
      </c>
      <c r="N52" s="11">
        <v>99</v>
      </c>
      <c r="O52" s="11">
        <v>45</v>
      </c>
      <c r="P52" s="11">
        <v>18</v>
      </c>
      <c r="Q52" s="11">
        <v>36</v>
      </c>
      <c r="R52" s="5">
        <f t="shared" si="0"/>
        <v>0.63636363636363635</v>
      </c>
      <c r="S52" s="13" t="str">
        <f t="shared" si="1"/>
        <v>&gt;50</v>
      </c>
      <c r="T52" s="14">
        <f t="shared" si="2"/>
        <v>3</v>
      </c>
      <c r="U52" s="14">
        <f t="shared" si="3"/>
        <v>1.5</v>
      </c>
    </row>
    <row r="53" spans="1:21" x14ac:dyDescent="0.25">
      <c r="A53" s="1">
        <v>62610024</v>
      </c>
      <c r="B53" s="1">
        <v>227683</v>
      </c>
      <c r="C53" s="1" t="s">
        <v>233</v>
      </c>
      <c r="D53" s="1" t="s">
        <v>248</v>
      </c>
      <c r="E53" s="1" t="s">
        <v>249</v>
      </c>
      <c r="F53" s="1" t="s">
        <v>76</v>
      </c>
      <c r="G53" s="1" t="s">
        <v>23</v>
      </c>
      <c r="H53" s="1" t="s">
        <v>19</v>
      </c>
      <c r="I53" s="1" t="s">
        <v>250</v>
      </c>
      <c r="J53" s="1" t="s">
        <v>251</v>
      </c>
      <c r="K53" s="1" t="str">
        <f>VLOOKUP(J53,'IU Major Match'!$D$2:$E$65,2,FALSE)</f>
        <v xml:space="preserve">Major exists in IU </v>
      </c>
      <c r="L53" s="1">
        <v>96176862414</v>
      </c>
      <c r="M53" s="1" t="s">
        <v>84</v>
      </c>
      <c r="N53" s="11">
        <v>99</v>
      </c>
      <c r="O53" s="11">
        <v>0</v>
      </c>
      <c r="P53" s="11">
        <v>9</v>
      </c>
      <c r="Q53" s="11">
        <v>96</v>
      </c>
      <c r="R53" s="5">
        <f t="shared" si="0"/>
        <v>9.0909090909090912E-2</v>
      </c>
      <c r="S53" s="13" t="str">
        <f t="shared" si="1"/>
        <v>=&lt;50</v>
      </c>
      <c r="T53" s="14">
        <f t="shared" si="2"/>
        <v>7</v>
      </c>
      <c r="U53" s="14">
        <f t="shared" si="3"/>
        <v>3.5</v>
      </c>
    </row>
    <row r="54" spans="1:21" x14ac:dyDescent="0.25">
      <c r="A54" s="1">
        <v>61930309</v>
      </c>
      <c r="B54" s="1">
        <v>145220</v>
      </c>
      <c r="C54" s="1" t="s">
        <v>233</v>
      </c>
      <c r="D54" s="1" t="s">
        <v>145</v>
      </c>
      <c r="E54" s="1" t="s">
        <v>252</v>
      </c>
      <c r="F54" s="1" t="s">
        <v>76</v>
      </c>
      <c r="G54" s="1" t="s">
        <v>23</v>
      </c>
      <c r="H54" s="1" t="s">
        <v>19</v>
      </c>
      <c r="I54" s="1" t="s">
        <v>103</v>
      </c>
      <c r="J54" s="1" t="s">
        <v>104</v>
      </c>
      <c r="K54" s="1" t="str">
        <f>VLOOKUP(J54,'IU Major Match'!$D$2:$E$65,2,FALSE)</f>
        <v xml:space="preserve">Major exists in IU </v>
      </c>
      <c r="L54" s="1">
        <v>96170895936</v>
      </c>
      <c r="M54" s="1" t="s">
        <v>205</v>
      </c>
      <c r="N54" s="11">
        <v>100</v>
      </c>
      <c r="O54" s="11">
        <v>91</v>
      </c>
      <c r="P54" s="11">
        <v>9</v>
      </c>
      <c r="Q54" s="11">
        <v>0</v>
      </c>
      <c r="R54" s="5">
        <f t="shared" si="0"/>
        <v>1</v>
      </c>
      <c r="S54" s="13" t="str">
        <f t="shared" si="1"/>
        <v>&gt;50</v>
      </c>
      <c r="T54" s="14">
        <f t="shared" si="2"/>
        <v>0</v>
      </c>
      <c r="U54" s="14">
        <f t="shared" si="3"/>
        <v>0</v>
      </c>
    </row>
    <row r="55" spans="1:21" x14ac:dyDescent="0.25">
      <c r="A55" s="1">
        <v>62330105</v>
      </c>
      <c r="B55" s="1">
        <v>200413</v>
      </c>
      <c r="C55" s="1" t="s">
        <v>233</v>
      </c>
      <c r="D55" s="1" t="s">
        <v>253</v>
      </c>
      <c r="E55" s="1" t="s">
        <v>254</v>
      </c>
      <c r="F55" s="1" t="s">
        <v>76</v>
      </c>
      <c r="G55" s="1" t="s">
        <v>93</v>
      </c>
      <c r="H55" s="1" t="s">
        <v>19</v>
      </c>
      <c r="I55" s="1" t="s">
        <v>107</v>
      </c>
      <c r="J55" s="1" t="s">
        <v>108</v>
      </c>
      <c r="K55" s="1" t="str">
        <f>VLOOKUP(J55,'IU Major Match'!$D$2:$E$65,2,FALSE)</f>
        <v xml:space="preserve">Major exists in IU </v>
      </c>
      <c r="L55" s="1">
        <v>71893711</v>
      </c>
      <c r="M55" s="1" t="s">
        <v>90</v>
      </c>
      <c r="N55" s="11">
        <v>99</v>
      </c>
      <c r="O55" s="11">
        <v>51</v>
      </c>
      <c r="P55" s="11">
        <v>9</v>
      </c>
      <c r="Q55" s="11">
        <v>39</v>
      </c>
      <c r="R55" s="5">
        <f t="shared" si="0"/>
        <v>0.60606060606060608</v>
      </c>
      <c r="S55" s="13" t="str">
        <f t="shared" si="1"/>
        <v>&gt;50</v>
      </c>
      <c r="T55" s="14">
        <f t="shared" si="2"/>
        <v>3</v>
      </c>
      <c r="U55" s="14">
        <f t="shared" si="3"/>
        <v>1.5</v>
      </c>
    </row>
    <row r="56" spans="1:21" x14ac:dyDescent="0.25">
      <c r="A56" s="1">
        <v>62430188</v>
      </c>
      <c r="B56" s="1">
        <v>213999</v>
      </c>
      <c r="C56" s="1" t="s">
        <v>233</v>
      </c>
      <c r="D56" s="1" t="s">
        <v>86</v>
      </c>
      <c r="E56" s="1" t="s">
        <v>255</v>
      </c>
      <c r="F56" s="1" t="s">
        <v>76</v>
      </c>
      <c r="G56" s="1" t="s">
        <v>23</v>
      </c>
      <c r="H56" s="1" t="s">
        <v>19</v>
      </c>
      <c r="I56" s="1" t="s">
        <v>159</v>
      </c>
      <c r="J56" s="1" t="s">
        <v>160</v>
      </c>
      <c r="K56" s="1" t="str">
        <f>VLOOKUP(J56,'IU Major Match'!$D$2:$E$65,2,FALSE)</f>
        <v xml:space="preserve">Major exists in IU </v>
      </c>
      <c r="L56" s="1">
        <v>96171417665</v>
      </c>
      <c r="M56" s="1" t="s">
        <v>113</v>
      </c>
      <c r="N56" s="11">
        <v>99</v>
      </c>
      <c r="O56" s="11">
        <v>12</v>
      </c>
      <c r="P56" s="11">
        <v>15</v>
      </c>
      <c r="Q56" s="11">
        <v>72</v>
      </c>
      <c r="R56" s="5">
        <f t="shared" si="0"/>
        <v>0.27272727272727271</v>
      </c>
      <c r="S56" s="13" t="str">
        <f t="shared" si="1"/>
        <v>=&lt;50</v>
      </c>
      <c r="T56" s="14">
        <f t="shared" si="2"/>
        <v>5</v>
      </c>
      <c r="U56" s="14">
        <f t="shared" si="3"/>
        <v>2.5</v>
      </c>
    </row>
    <row r="57" spans="1:21" x14ac:dyDescent="0.25">
      <c r="A57" s="1">
        <v>62510004</v>
      </c>
      <c r="B57" s="1">
        <v>217926</v>
      </c>
      <c r="C57" s="1" t="s">
        <v>131</v>
      </c>
      <c r="D57" s="1" t="s">
        <v>256</v>
      </c>
      <c r="E57" s="1" t="s">
        <v>257</v>
      </c>
      <c r="F57" s="1" t="s">
        <v>76</v>
      </c>
      <c r="G57" s="1" t="s">
        <v>23</v>
      </c>
      <c r="H57" s="1" t="s">
        <v>19</v>
      </c>
      <c r="I57" s="1" t="s">
        <v>258</v>
      </c>
      <c r="J57" s="1" t="s">
        <v>259</v>
      </c>
      <c r="K57" s="1" t="str">
        <f>VLOOKUP(J57,'IU Major Match'!$D$2:$E$65,2,FALSE)</f>
        <v xml:space="preserve">Major exists in IU </v>
      </c>
      <c r="L57" s="1">
        <v>76113442</v>
      </c>
      <c r="M57" s="1" t="s">
        <v>242</v>
      </c>
      <c r="N57" s="11">
        <v>108</v>
      </c>
      <c r="O57" s="11">
        <v>0</v>
      </c>
      <c r="P57" s="11">
        <v>7</v>
      </c>
      <c r="Q57" s="11">
        <v>119</v>
      </c>
      <c r="R57" s="5">
        <f t="shared" si="0"/>
        <v>6.4814814814814811E-2</v>
      </c>
      <c r="S57" s="13" t="str">
        <f t="shared" si="1"/>
        <v>=&lt;50</v>
      </c>
      <c r="T57" s="14">
        <f t="shared" si="2"/>
        <v>8</v>
      </c>
      <c r="U57" s="14">
        <f t="shared" si="3"/>
        <v>4</v>
      </c>
    </row>
    <row r="58" spans="1:21" x14ac:dyDescent="0.25">
      <c r="A58" s="1">
        <v>62430071</v>
      </c>
      <c r="B58" s="1">
        <v>211392</v>
      </c>
      <c r="C58" s="1" t="s">
        <v>260</v>
      </c>
      <c r="D58" s="1" t="s">
        <v>261</v>
      </c>
      <c r="E58" s="1" t="s">
        <v>249</v>
      </c>
      <c r="F58" s="1" t="s">
        <v>76</v>
      </c>
      <c r="G58" s="1" t="s">
        <v>93</v>
      </c>
      <c r="H58" s="1" t="s">
        <v>19</v>
      </c>
      <c r="I58" s="1" t="s">
        <v>168</v>
      </c>
      <c r="J58" s="1" t="s">
        <v>169</v>
      </c>
      <c r="K58" s="1" t="str">
        <f>VLOOKUP(J58,'IU Major Match'!$D$2:$E$65,2,FALSE)</f>
        <v>Major Dont exists in IU</v>
      </c>
      <c r="L58" s="1">
        <v>96181054507</v>
      </c>
      <c r="M58" s="1" t="s">
        <v>113</v>
      </c>
      <c r="N58" s="11">
        <v>99</v>
      </c>
      <c r="O58" s="11">
        <v>30</v>
      </c>
      <c r="P58" s="11">
        <v>18</v>
      </c>
      <c r="Q58" s="11">
        <v>51</v>
      </c>
      <c r="R58" s="5">
        <f t="shared" si="0"/>
        <v>0.48484848484848486</v>
      </c>
      <c r="S58" s="13" t="str">
        <f t="shared" si="1"/>
        <v>=&lt;50</v>
      </c>
      <c r="T58" s="14">
        <f t="shared" si="2"/>
        <v>4</v>
      </c>
      <c r="U58" s="14">
        <f t="shared" si="3"/>
        <v>2</v>
      </c>
    </row>
    <row r="59" spans="1:21" x14ac:dyDescent="0.25">
      <c r="A59" s="1">
        <v>62330266</v>
      </c>
      <c r="B59" s="1">
        <v>203633</v>
      </c>
      <c r="C59" s="1" t="s">
        <v>260</v>
      </c>
      <c r="D59" s="1" t="s">
        <v>262</v>
      </c>
      <c r="E59" s="1" t="s">
        <v>263</v>
      </c>
      <c r="F59" s="1" t="s">
        <v>76</v>
      </c>
      <c r="G59" s="1" t="s">
        <v>23</v>
      </c>
      <c r="H59" s="1" t="s">
        <v>19</v>
      </c>
      <c r="I59" s="1" t="s">
        <v>88</v>
      </c>
      <c r="J59" s="1" t="s">
        <v>89</v>
      </c>
      <c r="K59" s="1" t="str">
        <f>VLOOKUP(J59,'IU Major Match'!$D$2:$E$65,2,FALSE)</f>
        <v xml:space="preserve">Major exists in IU </v>
      </c>
      <c r="L59" s="1">
        <v>76308451</v>
      </c>
      <c r="M59" s="1" t="s">
        <v>90</v>
      </c>
      <c r="N59" s="11">
        <v>99</v>
      </c>
      <c r="O59" s="11">
        <v>87</v>
      </c>
      <c r="P59" s="11">
        <v>12</v>
      </c>
      <c r="Q59" s="11">
        <v>0</v>
      </c>
      <c r="R59" s="5">
        <f t="shared" si="0"/>
        <v>1</v>
      </c>
      <c r="S59" s="13" t="str">
        <f t="shared" si="1"/>
        <v>&gt;50</v>
      </c>
      <c r="T59" s="14">
        <f t="shared" si="2"/>
        <v>0</v>
      </c>
      <c r="U59" s="14">
        <f t="shared" si="3"/>
        <v>0</v>
      </c>
    </row>
    <row r="60" spans="1:21" x14ac:dyDescent="0.25">
      <c r="A60" s="1">
        <v>62430297</v>
      </c>
      <c r="B60" s="1">
        <v>216016</v>
      </c>
      <c r="C60" s="1" t="s">
        <v>264</v>
      </c>
      <c r="D60" s="1" t="s">
        <v>265</v>
      </c>
      <c r="E60" s="1" t="s">
        <v>266</v>
      </c>
      <c r="F60" s="1" t="s">
        <v>76</v>
      </c>
      <c r="G60" s="1" t="s">
        <v>93</v>
      </c>
      <c r="H60" s="1" t="s">
        <v>19</v>
      </c>
      <c r="I60" s="1" t="s">
        <v>94</v>
      </c>
      <c r="J60" s="1" t="s">
        <v>95</v>
      </c>
      <c r="K60" s="1" t="str">
        <f>VLOOKUP(J60,'IU Major Match'!$D$2:$E$65,2,FALSE)</f>
        <v xml:space="preserve">Major exists in IU </v>
      </c>
      <c r="L60" s="1">
        <v>79106364</v>
      </c>
      <c r="M60" s="1" t="s">
        <v>113</v>
      </c>
      <c r="N60" s="11">
        <v>99</v>
      </c>
      <c r="O60" s="11">
        <v>27</v>
      </c>
      <c r="P60" s="11">
        <v>12</v>
      </c>
      <c r="Q60" s="11">
        <v>60</v>
      </c>
      <c r="R60" s="5">
        <f t="shared" si="0"/>
        <v>0.39393939393939392</v>
      </c>
      <c r="S60" s="13" t="str">
        <f t="shared" si="1"/>
        <v>=&lt;50</v>
      </c>
      <c r="T60" s="14">
        <f t="shared" si="2"/>
        <v>4</v>
      </c>
      <c r="U60" s="14">
        <f t="shared" si="3"/>
        <v>2</v>
      </c>
    </row>
    <row r="61" spans="1:21" x14ac:dyDescent="0.25">
      <c r="A61" s="1">
        <v>62330085</v>
      </c>
      <c r="B61" s="1">
        <v>199052</v>
      </c>
      <c r="C61" s="1" t="s">
        <v>267</v>
      </c>
      <c r="D61" s="1" t="s">
        <v>268</v>
      </c>
      <c r="E61" s="1" t="s">
        <v>269</v>
      </c>
      <c r="F61" s="1" t="s">
        <v>76</v>
      </c>
      <c r="G61" s="1" t="s">
        <v>23</v>
      </c>
      <c r="H61" s="1" t="s">
        <v>19</v>
      </c>
      <c r="I61" s="1" t="s">
        <v>88</v>
      </c>
      <c r="J61" s="1" t="s">
        <v>89</v>
      </c>
      <c r="K61" s="1" t="str">
        <f>VLOOKUP(J61,'IU Major Match'!$D$2:$E$65,2,FALSE)</f>
        <v xml:space="preserve">Major exists in IU </v>
      </c>
      <c r="L61" s="1">
        <v>96176838037</v>
      </c>
      <c r="M61" s="1" t="s">
        <v>90</v>
      </c>
      <c r="N61" s="11">
        <v>99</v>
      </c>
      <c r="O61" s="11">
        <v>49</v>
      </c>
      <c r="P61" s="11">
        <v>13</v>
      </c>
      <c r="Q61" s="11">
        <v>37</v>
      </c>
      <c r="R61" s="5">
        <f t="shared" si="0"/>
        <v>0.6262626262626263</v>
      </c>
      <c r="S61" s="13" t="str">
        <f t="shared" si="1"/>
        <v>&gt;50</v>
      </c>
      <c r="T61" s="14">
        <f t="shared" si="2"/>
        <v>3</v>
      </c>
      <c r="U61" s="14">
        <f t="shared" si="3"/>
        <v>1.5</v>
      </c>
    </row>
    <row r="62" spans="1:21" x14ac:dyDescent="0.25">
      <c r="A62" s="1">
        <v>62530096</v>
      </c>
      <c r="B62" s="1">
        <v>221164</v>
      </c>
      <c r="C62" s="1" t="s">
        <v>270</v>
      </c>
      <c r="D62" s="1" t="s">
        <v>271</v>
      </c>
      <c r="E62" s="1" t="s">
        <v>272</v>
      </c>
      <c r="F62" s="1" t="s">
        <v>76</v>
      </c>
      <c r="G62" s="1" t="s">
        <v>18</v>
      </c>
      <c r="H62" s="1" t="s">
        <v>19</v>
      </c>
      <c r="I62" s="1" t="s">
        <v>82</v>
      </c>
      <c r="J62" s="1" t="s">
        <v>83</v>
      </c>
      <c r="K62" s="1" t="str">
        <f>VLOOKUP(J62,'IU Major Match'!$D$2:$E$65,2,FALSE)</f>
        <v>Can be Transferred to Bachelor of Engineering</v>
      </c>
      <c r="L62" s="1">
        <v>96181885295</v>
      </c>
      <c r="M62" s="1" t="s">
        <v>99</v>
      </c>
      <c r="N62" s="11">
        <v>108</v>
      </c>
      <c r="O62" s="11">
        <v>0</v>
      </c>
      <c r="P62" s="11">
        <v>16</v>
      </c>
      <c r="Q62" s="11">
        <v>96</v>
      </c>
      <c r="R62" s="5">
        <f t="shared" si="0"/>
        <v>0.14814814814814814</v>
      </c>
      <c r="S62" s="13" t="str">
        <f t="shared" si="1"/>
        <v>=&lt;50</v>
      </c>
      <c r="T62" s="14">
        <f t="shared" si="2"/>
        <v>7</v>
      </c>
      <c r="U62" s="14">
        <f t="shared" si="3"/>
        <v>3.5</v>
      </c>
    </row>
    <row r="63" spans="1:21" x14ac:dyDescent="0.25">
      <c r="A63" s="1">
        <v>62330026</v>
      </c>
      <c r="B63" s="1">
        <v>198768</v>
      </c>
      <c r="C63" s="1" t="s">
        <v>273</v>
      </c>
      <c r="D63" s="1" t="s">
        <v>92</v>
      </c>
      <c r="E63" s="1" t="s">
        <v>274</v>
      </c>
      <c r="F63" s="1" t="s">
        <v>76</v>
      </c>
      <c r="G63" s="1" t="s">
        <v>23</v>
      </c>
      <c r="H63" s="1" t="s">
        <v>19</v>
      </c>
      <c r="I63" s="1" t="s">
        <v>103</v>
      </c>
      <c r="J63" s="1" t="s">
        <v>104</v>
      </c>
      <c r="K63" s="1" t="str">
        <f>VLOOKUP(J63,'IU Major Match'!$D$2:$E$65,2,FALSE)</f>
        <v xml:space="preserve">Major exists in IU </v>
      </c>
      <c r="L63" s="1">
        <v>96170999341</v>
      </c>
      <c r="M63" s="1" t="s">
        <v>90</v>
      </c>
      <c r="N63" s="11">
        <v>100</v>
      </c>
      <c r="O63" s="11">
        <v>84</v>
      </c>
      <c r="P63" s="11">
        <v>16</v>
      </c>
      <c r="Q63" s="11">
        <v>0</v>
      </c>
      <c r="R63" s="5">
        <f t="shared" si="0"/>
        <v>1</v>
      </c>
      <c r="S63" s="13" t="str">
        <f t="shared" si="1"/>
        <v>&gt;50</v>
      </c>
      <c r="T63" s="14">
        <f t="shared" si="2"/>
        <v>0</v>
      </c>
      <c r="U63" s="14">
        <f t="shared" si="3"/>
        <v>0</v>
      </c>
    </row>
    <row r="64" spans="1:21" x14ac:dyDescent="0.25">
      <c r="A64" s="1">
        <v>62530212</v>
      </c>
      <c r="B64" s="1">
        <v>225292</v>
      </c>
      <c r="C64" s="1" t="s">
        <v>275</v>
      </c>
      <c r="D64" s="1" t="s">
        <v>27</v>
      </c>
      <c r="E64" s="1" t="s">
        <v>276</v>
      </c>
      <c r="F64" s="1" t="s">
        <v>76</v>
      </c>
      <c r="G64" s="1" t="s">
        <v>23</v>
      </c>
      <c r="H64" s="1" t="s">
        <v>19</v>
      </c>
      <c r="I64" s="1" t="s">
        <v>277</v>
      </c>
      <c r="J64" s="1" t="s">
        <v>278</v>
      </c>
      <c r="K64" s="1" t="str">
        <f>VLOOKUP(J64,'IU Major Match'!$D$2:$E$65,2,FALSE)</f>
        <v>Major Dont exists in IU</v>
      </c>
      <c r="L64" s="1">
        <v>96178901464</v>
      </c>
      <c r="M64" s="1" t="s">
        <v>99</v>
      </c>
      <c r="N64" s="11">
        <v>99</v>
      </c>
      <c r="O64" s="11">
        <v>9</v>
      </c>
      <c r="P64" s="11">
        <v>14</v>
      </c>
      <c r="Q64" s="11">
        <v>76</v>
      </c>
      <c r="R64" s="5">
        <f t="shared" si="0"/>
        <v>0.23232323232323232</v>
      </c>
      <c r="S64" s="13" t="str">
        <f t="shared" si="1"/>
        <v>=&lt;50</v>
      </c>
      <c r="T64" s="14">
        <f t="shared" si="2"/>
        <v>6</v>
      </c>
      <c r="U64" s="14">
        <f t="shared" si="3"/>
        <v>3</v>
      </c>
    </row>
    <row r="65" spans="1:21" x14ac:dyDescent="0.25">
      <c r="A65" s="1">
        <v>62430226</v>
      </c>
      <c r="B65" s="1">
        <v>214069</v>
      </c>
      <c r="C65" s="1" t="s">
        <v>275</v>
      </c>
      <c r="D65" s="1" t="s">
        <v>279</v>
      </c>
      <c r="E65" s="1" t="s">
        <v>280</v>
      </c>
      <c r="F65" s="1" t="s">
        <v>76</v>
      </c>
      <c r="G65" s="1" t="s">
        <v>23</v>
      </c>
      <c r="H65" s="1" t="s">
        <v>19</v>
      </c>
      <c r="I65" s="1" t="s">
        <v>88</v>
      </c>
      <c r="J65" s="1" t="s">
        <v>89</v>
      </c>
      <c r="K65" s="1" t="str">
        <f>VLOOKUP(J65,'IU Major Match'!$D$2:$E$65,2,FALSE)</f>
        <v xml:space="preserve">Major exists in IU </v>
      </c>
      <c r="L65" s="1">
        <v>81476740</v>
      </c>
      <c r="M65" s="1" t="s">
        <v>113</v>
      </c>
      <c r="N65" s="11">
        <v>99</v>
      </c>
      <c r="O65" s="11">
        <v>61</v>
      </c>
      <c r="P65" s="11">
        <v>16</v>
      </c>
      <c r="Q65" s="11">
        <v>22</v>
      </c>
      <c r="R65" s="5">
        <f t="shared" si="0"/>
        <v>0.77777777777777779</v>
      </c>
      <c r="S65" s="13" t="str">
        <f t="shared" si="1"/>
        <v>&gt;50</v>
      </c>
      <c r="T65" s="14">
        <f t="shared" si="2"/>
        <v>2</v>
      </c>
      <c r="U65" s="14">
        <f t="shared" si="3"/>
        <v>1</v>
      </c>
    </row>
    <row r="66" spans="1:21" x14ac:dyDescent="0.25">
      <c r="A66" s="1">
        <v>62510044</v>
      </c>
      <c r="B66" s="1">
        <v>222584</v>
      </c>
      <c r="C66" s="1" t="s">
        <v>281</v>
      </c>
      <c r="D66" s="1" t="s">
        <v>282</v>
      </c>
      <c r="E66" s="1" t="s">
        <v>283</v>
      </c>
      <c r="F66" s="1" t="s">
        <v>76</v>
      </c>
      <c r="G66" s="1" t="s">
        <v>23</v>
      </c>
      <c r="H66" s="1" t="s">
        <v>19</v>
      </c>
      <c r="I66" s="1" t="s">
        <v>250</v>
      </c>
      <c r="J66" s="1" t="s">
        <v>251</v>
      </c>
      <c r="K66" s="1" t="str">
        <f>VLOOKUP(J66,'IU Major Match'!$D$2:$E$65,2,FALSE)</f>
        <v xml:space="preserve">Major exists in IU </v>
      </c>
      <c r="L66" s="1">
        <v>96178847699</v>
      </c>
      <c r="M66" s="1" t="s">
        <v>242</v>
      </c>
      <c r="N66" s="11">
        <v>99</v>
      </c>
      <c r="O66" s="11">
        <v>49</v>
      </c>
      <c r="P66" s="11">
        <v>15</v>
      </c>
      <c r="Q66" s="11">
        <v>38</v>
      </c>
      <c r="R66" s="5">
        <f t="shared" si="0"/>
        <v>0.64646464646464652</v>
      </c>
      <c r="S66" s="13" t="str">
        <f t="shared" si="1"/>
        <v>&gt;50</v>
      </c>
      <c r="T66" s="14">
        <f t="shared" si="2"/>
        <v>3</v>
      </c>
      <c r="U66" s="14">
        <f t="shared" si="3"/>
        <v>1.5</v>
      </c>
    </row>
    <row r="67" spans="1:21" x14ac:dyDescent="0.25">
      <c r="A67" s="1">
        <v>62230376</v>
      </c>
      <c r="B67" s="1">
        <v>193096</v>
      </c>
      <c r="C67" s="1" t="s">
        <v>284</v>
      </c>
      <c r="D67" s="1" t="s">
        <v>285</v>
      </c>
      <c r="E67" s="1" t="s">
        <v>286</v>
      </c>
      <c r="F67" s="1" t="s">
        <v>76</v>
      </c>
      <c r="G67" s="1" t="s">
        <v>93</v>
      </c>
      <c r="H67" s="1" t="s">
        <v>19</v>
      </c>
      <c r="I67" s="1" t="s">
        <v>94</v>
      </c>
      <c r="J67" s="1" t="s">
        <v>95</v>
      </c>
      <c r="K67" s="1" t="str">
        <f>VLOOKUP(J67,'IU Major Match'!$D$2:$E$65,2,FALSE)</f>
        <v xml:space="preserve">Major exists in IU </v>
      </c>
      <c r="L67" s="1">
        <v>96171515432</v>
      </c>
      <c r="M67" s="1" t="s">
        <v>153</v>
      </c>
      <c r="N67" s="11">
        <v>99</v>
      </c>
      <c r="O67" s="11">
        <v>81</v>
      </c>
      <c r="P67" s="11">
        <v>18</v>
      </c>
      <c r="Q67" s="11">
        <v>0</v>
      </c>
      <c r="R67" s="5">
        <f t="shared" ref="R67:R130" si="4">(O67+P67)/N67</f>
        <v>1</v>
      </c>
      <c r="S67" s="13" t="str">
        <f t="shared" ref="S67:S130" si="5">IF(R67&lt;=50%,"=&lt;50","&gt;50")</f>
        <v>&gt;50</v>
      </c>
      <c r="T67" s="14">
        <f t="shared" ref="T67:T130" si="6">ROUNDUP(Q67/15,0)</f>
        <v>0</v>
      </c>
      <c r="U67" s="14">
        <f t="shared" ref="U67:U130" si="7">T67/2</f>
        <v>0</v>
      </c>
    </row>
    <row r="68" spans="1:21" x14ac:dyDescent="0.25">
      <c r="A68" s="1">
        <v>62530188</v>
      </c>
      <c r="B68" s="1">
        <v>223904</v>
      </c>
      <c r="C68" s="1" t="s">
        <v>287</v>
      </c>
      <c r="D68" s="1" t="s">
        <v>33</v>
      </c>
      <c r="E68" s="1" t="s">
        <v>288</v>
      </c>
      <c r="F68" s="1" t="s">
        <v>76</v>
      </c>
      <c r="G68" s="1" t="s">
        <v>93</v>
      </c>
      <c r="H68" s="1" t="s">
        <v>19</v>
      </c>
      <c r="I68" s="1" t="s">
        <v>216</v>
      </c>
      <c r="J68" s="1" t="s">
        <v>217</v>
      </c>
      <c r="K68" s="1" t="str">
        <f>VLOOKUP(J68,'IU Major Match'!$D$2:$E$65,2,FALSE)</f>
        <v xml:space="preserve">Major exists in IU </v>
      </c>
      <c r="L68" s="1">
        <v>9613726313</v>
      </c>
      <c r="M68" s="1" t="s">
        <v>99</v>
      </c>
      <c r="N68" s="11">
        <v>99</v>
      </c>
      <c r="O68" s="11">
        <v>0</v>
      </c>
      <c r="P68" s="11">
        <v>10</v>
      </c>
      <c r="Q68" s="11">
        <v>100</v>
      </c>
      <c r="R68" s="5">
        <f t="shared" si="4"/>
        <v>0.10101010101010101</v>
      </c>
      <c r="S68" s="13" t="str">
        <f t="shared" si="5"/>
        <v>=&lt;50</v>
      </c>
      <c r="T68" s="14">
        <f t="shared" si="6"/>
        <v>7</v>
      </c>
      <c r="U68" s="14">
        <f t="shared" si="7"/>
        <v>3.5</v>
      </c>
    </row>
    <row r="69" spans="1:21" x14ac:dyDescent="0.25">
      <c r="A69" s="1">
        <v>62430093</v>
      </c>
      <c r="B69" s="1">
        <v>210064</v>
      </c>
      <c r="C69" s="1" t="s">
        <v>287</v>
      </c>
      <c r="D69" s="1" t="s">
        <v>289</v>
      </c>
      <c r="E69" s="1" t="s">
        <v>290</v>
      </c>
      <c r="F69" s="1" t="s">
        <v>76</v>
      </c>
      <c r="G69" s="1" t="s">
        <v>93</v>
      </c>
      <c r="H69" s="1" t="s">
        <v>19</v>
      </c>
      <c r="I69" s="1" t="s">
        <v>216</v>
      </c>
      <c r="J69" s="1" t="s">
        <v>217</v>
      </c>
      <c r="K69" s="1" t="str">
        <f>VLOOKUP(J69,'IU Major Match'!$D$2:$E$65,2,FALSE)</f>
        <v xml:space="preserve">Major exists in IU </v>
      </c>
      <c r="L69" s="1">
        <v>79410426</v>
      </c>
      <c r="M69" s="1" t="s">
        <v>113</v>
      </c>
      <c r="N69" s="11">
        <v>99</v>
      </c>
      <c r="O69" s="11">
        <v>3</v>
      </c>
      <c r="P69" s="11">
        <v>21</v>
      </c>
      <c r="Q69" s="11">
        <v>78</v>
      </c>
      <c r="R69" s="5">
        <f t="shared" si="4"/>
        <v>0.24242424242424243</v>
      </c>
      <c r="S69" s="13" t="str">
        <f t="shared" si="5"/>
        <v>=&lt;50</v>
      </c>
      <c r="T69" s="14">
        <f t="shared" si="6"/>
        <v>6</v>
      </c>
      <c r="U69" s="14">
        <f t="shared" si="7"/>
        <v>3</v>
      </c>
    </row>
    <row r="70" spans="1:21" x14ac:dyDescent="0.25">
      <c r="A70" s="1">
        <v>62430300</v>
      </c>
      <c r="B70" s="1">
        <v>216319</v>
      </c>
      <c r="C70" s="1" t="s">
        <v>291</v>
      </c>
      <c r="D70" s="1" t="s">
        <v>16</v>
      </c>
      <c r="E70" s="1" t="s">
        <v>292</v>
      </c>
      <c r="F70" s="1" t="s">
        <v>76</v>
      </c>
      <c r="G70" s="1" t="s">
        <v>23</v>
      </c>
      <c r="H70" s="1" t="s">
        <v>19</v>
      </c>
      <c r="I70" s="1" t="s">
        <v>151</v>
      </c>
      <c r="J70" s="1" t="s">
        <v>152</v>
      </c>
      <c r="K70" s="1" t="str">
        <f>VLOOKUP(J70,'IU Major Match'!$D$2:$E$65,2,FALSE)</f>
        <v>Major Dont exists in IU</v>
      </c>
      <c r="L70" s="1">
        <v>96181907039</v>
      </c>
      <c r="M70" s="1" t="s">
        <v>113</v>
      </c>
      <c r="N70" s="11">
        <v>105</v>
      </c>
      <c r="O70" s="11">
        <v>34</v>
      </c>
      <c r="P70" s="11">
        <v>17</v>
      </c>
      <c r="Q70" s="11">
        <v>54</v>
      </c>
      <c r="R70" s="5">
        <f t="shared" si="4"/>
        <v>0.48571428571428571</v>
      </c>
      <c r="S70" s="13" t="str">
        <f t="shared" si="5"/>
        <v>=&lt;50</v>
      </c>
      <c r="T70" s="14">
        <f t="shared" si="6"/>
        <v>4</v>
      </c>
      <c r="U70" s="14">
        <f t="shared" si="7"/>
        <v>2</v>
      </c>
    </row>
    <row r="71" spans="1:21" x14ac:dyDescent="0.25">
      <c r="A71" s="1">
        <v>62430307</v>
      </c>
      <c r="B71" s="1">
        <v>216318</v>
      </c>
      <c r="C71" s="1" t="s">
        <v>291</v>
      </c>
      <c r="D71" s="1" t="s">
        <v>293</v>
      </c>
      <c r="E71" s="1" t="s">
        <v>294</v>
      </c>
      <c r="F71" s="1" t="s">
        <v>76</v>
      </c>
      <c r="G71" s="1" t="s">
        <v>23</v>
      </c>
      <c r="H71" s="1" t="s">
        <v>19</v>
      </c>
      <c r="I71" s="1" t="s">
        <v>151</v>
      </c>
      <c r="J71" s="1" t="s">
        <v>152</v>
      </c>
      <c r="K71" s="1" t="str">
        <f>VLOOKUP(J71,'IU Major Match'!$D$2:$E$65,2,FALSE)</f>
        <v>Major Dont exists in IU</v>
      </c>
      <c r="L71" s="1">
        <v>96181361469</v>
      </c>
      <c r="M71" s="1" t="s">
        <v>113</v>
      </c>
      <c r="N71" s="11">
        <v>105</v>
      </c>
      <c r="O71" s="11">
        <v>37</v>
      </c>
      <c r="P71" s="11">
        <v>14</v>
      </c>
      <c r="Q71" s="11">
        <v>54</v>
      </c>
      <c r="R71" s="5">
        <f t="shared" si="4"/>
        <v>0.48571428571428571</v>
      </c>
      <c r="S71" s="13" t="str">
        <f t="shared" si="5"/>
        <v>=&lt;50</v>
      </c>
      <c r="T71" s="14">
        <f t="shared" si="6"/>
        <v>4</v>
      </c>
      <c r="U71" s="14">
        <f t="shared" si="7"/>
        <v>2</v>
      </c>
    </row>
    <row r="72" spans="1:21" x14ac:dyDescent="0.25">
      <c r="A72" s="1">
        <v>62330100</v>
      </c>
      <c r="B72" s="1">
        <v>199858</v>
      </c>
      <c r="C72" s="1" t="s">
        <v>295</v>
      </c>
      <c r="D72" s="1" t="s">
        <v>296</v>
      </c>
      <c r="E72" s="1" t="s">
        <v>297</v>
      </c>
      <c r="F72" s="1" t="s">
        <v>76</v>
      </c>
      <c r="G72" s="1" t="s">
        <v>93</v>
      </c>
      <c r="H72" s="1" t="s">
        <v>19</v>
      </c>
      <c r="I72" s="1" t="s">
        <v>107</v>
      </c>
      <c r="J72" s="1" t="s">
        <v>108</v>
      </c>
      <c r="K72" s="1" t="str">
        <f>VLOOKUP(J72,'IU Major Match'!$D$2:$E$65,2,FALSE)</f>
        <v xml:space="preserve">Major exists in IU </v>
      </c>
      <c r="L72" s="1">
        <v>81380404</v>
      </c>
      <c r="M72" s="1" t="s">
        <v>90</v>
      </c>
      <c r="N72" s="11">
        <v>99</v>
      </c>
      <c r="O72" s="11">
        <v>42</v>
      </c>
      <c r="P72" s="11">
        <v>15</v>
      </c>
      <c r="Q72" s="11">
        <v>42</v>
      </c>
      <c r="R72" s="5">
        <f t="shared" si="4"/>
        <v>0.5757575757575758</v>
      </c>
      <c r="S72" s="13" t="str">
        <f t="shared" si="5"/>
        <v>&gt;50</v>
      </c>
      <c r="T72" s="14">
        <f t="shared" si="6"/>
        <v>3</v>
      </c>
      <c r="U72" s="14">
        <f t="shared" si="7"/>
        <v>1.5</v>
      </c>
    </row>
    <row r="73" spans="1:21" x14ac:dyDescent="0.25">
      <c r="A73" s="1">
        <v>62230236</v>
      </c>
      <c r="B73" s="1">
        <v>189265</v>
      </c>
      <c r="C73" s="1" t="s">
        <v>199</v>
      </c>
      <c r="D73" s="1" t="s">
        <v>298</v>
      </c>
      <c r="E73" s="1" t="s">
        <v>299</v>
      </c>
      <c r="F73" s="1" t="s">
        <v>76</v>
      </c>
      <c r="G73" s="1" t="s">
        <v>18</v>
      </c>
      <c r="H73" s="1" t="s">
        <v>19</v>
      </c>
      <c r="I73" s="1" t="s">
        <v>82</v>
      </c>
      <c r="J73" s="1" t="s">
        <v>83</v>
      </c>
      <c r="K73" s="1" t="str">
        <f>VLOOKUP(J73,'IU Major Match'!$D$2:$E$65,2,FALSE)</f>
        <v>Can be Transferred to Bachelor of Engineering</v>
      </c>
      <c r="L73" s="1">
        <v>76559929</v>
      </c>
      <c r="M73" s="1" t="s">
        <v>153</v>
      </c>
      <c r="N73" s="11">
        <v>108</v>
      </c>
      <c r="O73" s="11">
        <v>64</v>
      </c>
      <c r="P73" s="11">
        <v>13</v>
      </c>
      <c r="Q73" s="11">
        <v>31</v>
      </c>
      <c r="R73" s="5">
        <f t="shared" si="4"/>
        <v>0.71296296296296291</v>
      </c>
      <c r="S73" s="13" t="str">
        <f t="shared" si="5"/>
        <v>&gt;50</v>
      </c>
      <c r="T73" s="14">
        <f t="shared" si="6"/>
        <v>3</v>
      </c>
      <c r="U73" s="14">
        <f t="shared" si="7"/>
        <v>1.5</v>
      </c>
    </row>
    <row r="74" spans="1:21" x14ac:dyDescent="0.25">
      <c r="A74" s="1">
        <v>62530016</v>
      </c>
      <c r="B74" s="1">
        <v>219191</v>
      </c>
      <c r="C74" s="1" t="s">
        <v>300</v>
      </c>
      <c r="D74" s="1" t="s">
        <v>58</v>
      </c>
      <c r="E74" s="1" t="s">
        <v>301</v>
      </c>
      <c r="F74" s="1" t="s">
        <v>76</v>
      </c>
      <c r="G74" s="1" t="s">
        <v>18</v>
      </c>
      <c r="H74" s="1" t="s">
        <v>19</v>
      </c>
      <c r="I74" s="1" t="s">
        <v>302</v>
      </c>
      <c r="J74" s="1" t="s">
        <v>303</v>
      </c>
      <c r="K74" s="1" t="str">
        <f>VLOOKUP(J74,'IU Major Match'!$D$2:$E$65,2,FALSE)</f>
        <v>Can be Transferred to Bachelor of Engineering</v>
      </c>
      <c r="L74" s="1">
        <v>96171299127</v>
      </c>
      <c r="M74" s="1" t="s">
        <v>99</v>
      </c>
      <c r="N74" s="11">
        <v>108</v>
      </c>
      <c r="O74" s="11">
        <v>0</v>
      </c>
      <c r="P74" s="11">
        <v>17</v>
      </c>
      <c r="Q74" s="11">
        <v>95</v>
      </c>
      <c r="R74" s="5">
        <f t="shared" si="4"/>
        <v>0.15740740740740741</v>
      </c>
      <c r="S74" s="13" t="str">
        <f t="shared" si="5"/>
        <v>=&lt;50</v>
      </c>
      <c r="T74" s="14">
        <f t="shared" si="6"/>
        <v>7</v>
      </c>
      <c r="U74" s="14">
        <f t="shared" si="7"/>
        <v>3.5</v>
      </c>
    </row>
    <row r="75" spans="1:21" x14ac:dyDescent="0.25">
      <c r="A75" s="1">
        <v>62230078</v>
      </c>
      <c r="B75" s="1">
        <v>190070</v>
      </c>
      <c r="C75" s="1" t="s">
        <v>304</v>
      </c>
      <c r="D75" s="1" t="s">
        <v>305</v>
      </c>
      <c r="E75" s="1" t="s">
        <v>57</v>
      </c>
      <c r="F75" s="1" t="s">
        <v>76</v>
      </c>
      <c r="G75" s="1" t="s">
        <v>23</v>
      </c>
      <c r="H75" s="1" t="s">
        <v>19</v>
      </c>
      <c r="I75" s="1" t="s">
        <v>151</v>
      </c>
      <c r="J75" s="1" t="s">
        <v>152</v>
      </c>
      <c r="K75" s="1" t="str">
        <f>VLOOKUP(J75,'IU Major Match'!$D$2:$E$65,2,FALSE)</f>
        <v>Major Dont exists in IU</v>
      </c>
      <c r="L75" s="1" t="s">
        <v>306</v>
      </c>
      <c r="M75" s="1" t="s">
        <v>153</v>
      </c>
      <c r="N75" s="11">
        <v>105</v>
      </c>
      <c r="O75" s="11">
        <v>90</v>
      </c>
      <c r="P75" s="11">
        <v>9</v>
      </c>
      <c r="Q75" s="11">
        <v>6</v>
      </c>
      <c r="R75" s="5">
        <f t="shared" si="4"/>
        <v>0.94285714285714284</v>
      </c>
      <c r="S75" s="13" t="str">
        <f t="shared" si="5"/>
        <v>&gt;50</v>
      </c>
      <c r="T75" s="14">
        <f t="shared" si="6"/>
        <v>1</v>
      </c>
      <c r="U75" s="14">
        <f t="shared" si="7"/>
        <v>0.5</v>
      </c>
    </row>
    <row r="76" spans="1:21" x14ac:dyDescent="0.25">
      <c r="A76" s="1">
        <v>62330123</v>
      </c>
      <c r="B76" s="1">
        <v>199887</v>
      </c>
      <c r="C76" s="1" t="s">
        <v>307</v>
      </c>
      <c r="D76" s="1" t="s">
        <v>119</v>
      </c>
      <c r="E76" s="1" t="s">
        <v>43</v>
      </c>
      <c r="F76" s="1" t="s">
        <v>76</v>
      </c>
      <c r="G76" s="1" t="s">
        <v>93</v>
      </c>
      <c r="H76" s="1" t="s">
        <v>19</v>
      </c>
      <c r="I76" s="1" t="s">
        <v>94</v>
      </c>
      <c r="J76" s="1" t="s">
        <v>95</v>
      </c>
      <c r="K76" s="1" t="str">
        <f>VLOOKUP(J76,'IU Major Match'!$D$2:$E$65,2,FALSE)</f>
        <v xml:space="preserve">Major exists in IU </v>
      </c>
      <c r="L76" s="1">
        <v>71690688</v>
      </c>
      <c r="M76" s="1" t="s">
        <v>90</v>
      </c>
      <c r="N76" s="11">
        <v>99</v>
      </c>
      <c r="O76" s="11">
        <v>81</v>
      </c>
      <c r="P76" s="11">
        <v>18</v>
      </c>
      <c r="Q76" s="11">
        <v>0</v>
      </c>
      <c r="R76" s="5">
        <f t="shared" si="4"/>
        <v>1</v>
      </c>
      <c r="S76" s="13" t="str">
        <f t="shared" si="5"/>
        <v>&gt;50</v>
      </c>
      <c r="T76" s="14">
        <f t="shared" si="6"/>
        <v>0</v>
      </c>
      <c r="U76" s="14">
        <f t="shared" si="7"/>
        <v>0</v>
      </c>
    </row>
    <row r="77" spans="1:21" x14ac:dyDescent="0.25">
      <c r="A77" s="1">
        <v>62310012</v>
      </c>
      <c r="B77" s="1">
        <v>196956</v>
      </c>
      <c r="C77" s="1" t="s">
        <v>308</v>
      </c>
      <c r="D77" s="1" t="s">
        <v>309</v>
      </c>
      <c r="E77" s="1" t="s">
        <v>310</v>
      </c>
      <c r="F77" s="1" t="s">
        <v>76</v>
      </c>
      <c r="G77" s="1" t="s">
        <v>18</v>
      </c>
      <c r="H77" s="1" t="s">
        <v>19</v>
      </c>
      <c r="I77" s="1" t="s">
        <v>82</v>
      </c>
      <c r="J77" s="1" t="s">
        <v>83</v>
      </c>
      <c r="K77" s="1" t="str">
        <f>VLOOKUP(J77,'IU Major Match'!$D$2:$E$65,2,FALSE)</f>
        <v>Can be Transferred to Bachelor of Engineering</v>
      </c>
      <c r="L77" s="1">
        <v>96181911074</v>
      </c>
      <c r="M77" s="1" t="s">
        <v>178</v>
      </c>
      <c r="N77" s="11">
        <v>108</v>
      </c>
      <c r="O77" s="11">
        <v>88</v>
      </c>
      <c r="P77" s="11">
        <v>17</v>
      </c>
      <c r="Q77" s="11">
        <v>3</v>
      </c>
      <c r="R77" s="5">
        <f t="shared" si="4"/>
        <v>0.97222222222222221</v>
      </c>
      <c r="S77" s="13" t="str">
        <f t="shared" si="5"/>
        <v>&gt;50</v>
      </c>
      <c r="T77" s="14">
        <f t="shared" si="6"/>
        <v>1</v>
      </c>
      <c r="U77" s="14">
        <f t="shared" si="7"/>
        <v>0.5</v>
      </c>
    </row>
    <row r="78" spans="1:21" x14ac:dyDescent="0.25">
      <c r="A78" s="1">
        <v>62430261</v>
      </c>
      <c r="B78" s="1">
        <v>215036</v>
      </c>
      <c r="C78" s="1" t="s">
        <v>311</v>
      </c>
      <c r="D78" s="1" t="s">
        <v>92</v>
      </c>
      <c r="E78" s="1" t="s">
        <v>312</v>
      </c>
      <c r="F78" s="1" t="s">
        <v>76</v>
      </c>
      <c r="G78" s="1" t="s">
        <v>23</v>
      </c>
      <c r="H78" s="1" t="s">
        <v>19</v>
      </c>
      <c r="I78" s="1" t="s">
        <v>159</v>
      </c>
      <c r="J78" s="1" t="s">
        <v>160</v>
      </c>
      <c r="K78" s="1" t="str">
        <f>VLOOKUP(J78,'IU Major Match'!$D$2:$E$65,2,FALSE)</f>
        <v xml:space="preserve">Major exists in IU </v>
      </c>
      <c r="L78" s="1">
        <v>71678133</v>
      </c>
      <c r="M78" s="1" t="s">
        <v>113</v>
      </c>
      <c r="N78" s="11">
        <v>99</v>
      </c>
      <c r="O78" s="11">
        <v>18</v>
      </c>
      <c r="P78" s="11">
        <v>9</v>
      </c>
      <c r="Q78" s="11">
        <v>72</v>
      </c>
      <c r="R78" s="5">
        <f t="shared" si="4"/>
        <v>0.27272727272727271</v>
      </c>
      <c r="S78" s="13" t="str">
        <f t="shared" si="5"/>
        <v>=&lt;50</v>
      </c>
      <c r="T78" s="14">
        <f t="shared" si="6"/>
        <v>5</v>
      </c>
      <c r="U78" s="14">
        <f t="shared" si="7"/>
        <v>2.5</v>
      </c>
    </row>
    <row r="79" spans="1:21" x14ac:dyDescent="0.25">
      <c r="A79" s="1">
        <v>62530144</v>
      </c>
      <c r="B79" s="1">
        <v>222515</v>
      </c>
      <c r="C79" s="1" t="s">
        <v>313</v>
      </c>
      <c r="D79" s="1" t="s">
        <v>119</v>
      </c>
      <c r="E79" s="1" t="s">
        <v>314</v>
      </c>
      <c r="F79" s="1" t="s">
        <v>76</v>
      </c>
      <c r="G79" s="1" t="s">
        <v>93</v>
      </c>
      <c r="H79" s="1" t="s">
        <v>19</v>
      </c>
      <c r="I79" s="1" t="s">
        <v>216</v>
      </c>
      <c r="J79" s="1" t="s">
        <v>217</v>
      </c>
      <c r="K79" s="1" t="str">
        <f>VLOOKUP(J79,'IU Major Match'!$D$2:$E$65,2,FALSE)</f>
        <v xml:space="preserve">Major exists in IU </v>
      </c>
      <c r="L79" s="1">
        <v>76194122</v>
      </c>
      <c r="M79" s="1" t="s">
        <v>99</v>
      </c>
      <c r="N79" s="11">
        <v>99</v>
      </c>
      <c r="O79" s="11">
        <v>51</v>
      </c>
      <c r="P79" s="11">
        <v>15</v>
      </c>
      <c r="Q79" s="11">
        <v>33</v>
      </c>
      <c r="R79" s="5">
        <f t="shared" si="4"/>
        <v>0.66666666666666663</v>
      </c>
      <c r="S79" s="13" t="str">
        <f t="shared" si="5"/>
        <v>&gt;50</v>
      </c>
      <c r="T79" s="14">
        <f t="shared" si="6"/>
        <v>3</v>
      </c>
      <c r="U79" s="14">
        <f t="shared" si="7"/>
        <v>1.5</v>
      </c>
    </row>
    <row r="80" spans="1:21" x14ac:dyDescent="0.25">
      <c r="A80" s="1">
        <v>62330363</v>
      </c>
      <c r="B80" s="1">
        <v>207372</v>
      </c>
      <c r="C80" s="1" t="s">
        <v>315</v>
      </c>
      <c r="D80" s="1" t="s">
        <v>316</v>
      </c>
      <c r="E80" s="1" t="s">
        <v>317</v>
      </c>
      <c r="F80" s="1" t="s">
        <v>76</v>
      </c>
      <c r="G80" s="1" t="s">
        <v>23</v>
      </c>
      <c r="H80" s="1" t="s">
        <v>19</v>
      </c>
      <c r="I80" s="1" t="s">
        <v>116</v>
      </c>
      <c r="J80" s="1" t="s">
        <v>117</v>
      </c>
      <c r="K80" s="1" t="str">
        <f>VLOOKUP(J80,'IU Major Match'!$D$2:$E$65,2,FALSE)</f>
        <v>Major Dont exists in IU</v>
      </c>
      <c r="L80" s="1">
        <v>71737559</v>
      </c>
      <c r="M80" s="1" t="s">
        <v>90</v>
      </c>
      <c r="N80" s="11">
        <v>99</v>
      </c>
      <c r="O80" s="11">
        <v>6</v>
      </c>
      <c r="P80" s="11">
        <v>14</v>
      </c>
      <c r="Q80" s="11">
        <v>79</v>
      </c>
      <c r="R80" s="5">
        <f t="shared" si="4"/>
        <v>0.20202020202020202</v>
      </c>
      <c r="S80" s="13" t="str">
        <f t="shared" si="5"/>
        <v>=&lt;50</v>
      </c>
      <c r="T80" s="14">
        <f t="shared" si="6"/>
        <v>6</v>
      </c>
      <c r="U80" s="14">
        <f t="shared" si="7"/>
        <v>3</v>
      </c>
    </row>
    <row r="81" spans="1:21" x14ac:dyDescent="0.25">
      <c r="A81" s="1">
        <v>62130461</v>
      </c>
      <c r="B81" s="1">
        <v>178650</v>
      </c>
      <c r="C81" s="1" t="s">
        <v>318</v>
      </c>
      <c r="D81" s="1" t="s">
        <v>21</v>
      </c>
      <c r="E81" s="1" t="s">
        <v>319</v>
      </c>
      <c r="F81" s="1" t="s">
        <v>76</v>
      </c>
      <c r="G81" s="1" t="s">
        <v>93</v>
      </c>
      <c r="H81" s="1" t="s">
        <v>19</v>
      </c>
      <c r="I81" s="1" t="s">
        <v>320</v>
      </c>
      <c r="J81" s="1" t="s">
        <v>321</v>
      </c>
      <c r="K81" s="1" t="str">
        <f>VLOOKUP(J81,'IU Major Match'!$D$2:$E$65,2,FALSE)</f>
        <v xml:space="preserve">Major exists in IU </v>
      </c>
      <c r="L81" s="1">
        <v>9613921492</v>
      </c>
      <c r="M81" s="1" t="s">
        <v>79</v>
      </c>
      <c r="N81" s="11">
        <v>99</v>
      </c>
      <c r="O81" s="11">
        <v>84</v>
      </c>
      <c r="P81" s="11">
        <v>15</v>
      </c>
      <c r="Q81" s="11">
        <v>0</v>
      </c>
      <c r="R81" s="5">
        <f t="shared" si="4"/>
        <v>1</v>
      </c>
      <c r="S81" s="13" t="str">
        <f t="shared" si="5"/>
        <v>&gt;50</v>
      </c>
      <c r="T81" s="14">
        <f t="shared" si="6"/>
        <v>0</v>
      </c>
      <c r="U81" s="14">
        <f t="shared" si="7"/>
        <v>0</v>
      </c>
    </row>
    <row r="82" spans="1:21" x14ac:dyDescent="0.25">
      <c r="A82" s="1">
        <v>61930148</v>
      </c>
      <c r="B82" s="1">
        <v>142342</v>
      </c>
      <c r="C82" s="1" t="s">
        <v>322</v>
      </c>
      <c r="D82" s="1" t="s">
        <v>119</v>
      </c>
      <c r="E82" s="1" t="s">
        <v>323</v>
      </c>
      <c r="F82" s="1" t="s">
        <v>76</v>
      </c>
      <c r="G82" s="1" t="s">
        <v>93</v>
      </c>
      <c r="H82" s="1" t="s">
        <v>19</v>
      </c>
      <c r="I82" s="1" t="s">
        <v>94</v>
      </c>
      <c r="J82" s="1" t="s">
        <v>95</v>
      </c>
      <c r="K82" s="1" t="str">
        <f>VLOOKUP(J82,'IU Major Match'!$D$2:$E$65,2,FALSE)</f>
        <v xml:space="preserve">Major exists in IU </v>
      </c>
      <c r="L82" s="1">
        <v>76520324</v>
      </c>
      <c r="M82" s="1" t="s">
        <v>205</v>
      </c>
      <c r="N82" s="11">
        <v>99</v>
      </c>
      <c r="O82" s="11">
        <v>60</v>
      </c>
      <c r="P82" s="11">
        <v>15</v>
      </c>
      <c r="Q82" s="11">
        <v>24</v>
      </c>
      <c r="R82" s="5">
        <f t="shared" si="4"/>
        <v>0.75757575757575757</v>
      </c>
      <c r="S82" s="13" t="str">
        <f t="shared" si="5"/>
        <v>&gt;50</v>
      </c>
      <c r="T82" s="14">
        <f t="shared" si="6"/>
        <v>2</v>
      </c>
      <c r="U82" s="14">
        <f t="shared" si="7"/>
        <v>1</v>
      </c>
    </row>
    <row r="83" spans="1:21" x14ac:dyDescent="0.25">
      <c r="A83" s="1">
        <v>62330175</v>
      </c>
      <c r="B83" s="1">
        <v>201093</v>
      </c>
      <c r="C83" s="1" t="s">
        <v>322</v>
      </c>
      <c r="D83" s="1" t="s">
        <v>298</v>
      </c>
      <c r="E83" s="1" t="s">
        <v>204</v>
      </c>
      <c r="F83" s="1" t="s">
        <v>76</v>
      </c>
      <c r="G83" s="1" t="s">
        <v>23</v>
      </c>
      <c r="H83" s="1" t="s">
        <v>19</v>
      </c>
      <c r="I83" s="1" t="s">
        <v>88</v>
      </c>
      <c r="J83" s="1" t="s">
        <v>89</v>
      </c>
      <c r="K83" s="1" t="str">
        <f>VLOOKUP(J83,'IU Major Match'!$D$2:$E$65,2,FALSE)</f>
        <v xml:space="preserve">Major exists in IU </v>
      </c>
      <c r="L83" s="1">
        <v>96170638083</v>
      </c>
      <c r="M83" s="1" t="s">
        <v>90</v>
      </c>
      <c r="N83" s="11">
        <v>99</v>
      </c>
      <c r="O83" s="11">
        <v>63</v>
      </c>
      <c r="P83" s="11">
        <v>12</v>
      </c>
      <c r="Q83" s="11">
        <v>24</v>
      </c>
      <c r="R83" s="5">
        <f t="shared" si="4"/>
        <v>0.75757575757575757</v>
      </c>
      <c r="S83" s="13" t="str">
        <f t="shared" si="5"/>
        <v>&gt;50</v>
      </c>
      <c r="T83" s="14">
        <f t="shared" si="6"/>
        <v>2</v>
      </c>
      <c r="U83" s="14">
        <f t="shared" si="7"/>
        <v>1</v>
      </c>
    </row>
    <row r="84" spans="1:21" x14ac:dyDescent="0.25">
      <c r="A84" s="1">
        <v>62330031</v>
      </c>
      <c r="B84" s="1">
        <v>211142</v>
      </c>
      <c r="C84" s="1" t="s">
        <v>324</v>
      </c>
      <c r="D84" s="1" t="s">
        <v>325</v>
      </c>
      <c r="E84" s="1" t="s">
        <v>326</v>
      </c>
      <c r="F84" s="1" t="s">
        <v>76</v>
      </c>
      <c r="G84" s="1" t="s">
        <v>23</v>
      </c>
      <c r="H84" s="1" t="s">
        <v>19</v>
      </c>
      <c r="I84" s="1" t="s">
        <v>88</v>
      </c>
      <c r="J84" s="1" t="s">
        <v>89</v>
      </c>
      <c r="K84" s="1" t="str">
        <f>VLOOKUP(J84,'IU Major Match'!$D$2:$E$65,2,FALSE)</f>
        <v xml:space="preserve">Major exists in IU </v>
      </c>
      <c r="L84" s="1">
        <v>96181654910</v>
      </c>
      <c r="M84" s="1" t="s">
        <v>113</v>
      </c>
      <c r="N84" s="11">
        <v>99</v>
      </c>
      <c r="O84" s="11">
        <v>45</v>
      </c>
      <c r="P84" s="11">
        <v>15</v>
      </c>
      <c r="Q84" s="11">
        <v>39</v>
      </c>
      <c r="R84" s="5">
        <f t="shared" si="4"/>
        <v>0.60606060606060608</v>
      </c>
      <c r="S84" s="13" t="str">
        <f t="shared" si="5"/>
        <v>&gt;50</v>
      </c>
      <c r="T84" s="14">
        <f t="shared" si="6"/>
        <v>3</v>
      </c>
      <c r="U84" s="14">
        <f t="shared" si="7"/>
        <v>1.5</v>
      </c>
    </row>
    <row r="85" spans="1:21" x14ac:dyDescent="0.25">
      <c r="A85" s="1">
        <v>62530201</v>
      </c>
      <c r="B85" s="1">
        <v>224527</v>
      </c>
      <c r="C85" s="1" t="s">
        <v>324</v>
      </c>
      <c r="D85" s="1" t="s">
        <v>327</v>
      </c>
      <c r="E85" s="1" t="s">
        <v>155</v>
      </c>
      <c r="F85" s="1" t="s">
        <v>76</v>
      </c>
      <c r="G85" s="1" t="s">
        <v>93</v>
      </c>
      <c r="H85" s="1" t="s">
        <v>19</v>
      </c>
      <c r="I85" s="1" t="s">
        <v>216</v>
      </c>
      <c r="J85" s="1" t="s">
        <v>217</v>
      </c>
      <c r="K85" s="1" t="str">
        <f>VLOOKUP(J85,'IU Major Match'!$D$2:$E$65,2,FALSE)</f>
        <v xml:space="preserve">Major exists in IU </v>
      </c>
      <c r="L85" s="1">
        <v>96170198006</v>
      </c>
      <c r="M85" s="1" t="s">
        <v>99</v>
      </c>
      <c r="N85" s="11">
        <v>99</v>
      </c>
      <c r="O85" s="11">
        <v>0</v>
      </c>
      <c r="P85" s="11">
        <v>12</v>
      </c>
      <c r="Q85" s="11">
        <v>87</v>
      </c>
      <c r="R85" s="5">
        <f t="shared" si="4"/>
        <v>0.12121212121212122</v>
      </c>
      <c r="S85" s="13" t="str">
        <f t="shared" si="5"/>
        <v>=&lt;50</v>
      </c>
      <c r="T85" s="14">
        <f t="shared" si="6"/>
        <v>6</v>
      </c>
      <c r="U85" s="14">
        <f t="shared" si="7"/>
        <v>3</v>
      </c>
    </row>
    <row r="86" spans="1:21" x14ac:dyDescent="0.25">
      <c r="A86" s="1">
        <v>62430330</v>
      </c>
      <c r="B86" s="1">
        <v>216998</v>
      </c>
      <c r="C86" s="1" t="s">
        <v>328</v>
      </c>
      <c r="D86" s="1" t="s">
        <v>329</v>
      </c>
      <c r="E86" s="1" t="s">
        <v>330</v>
      </c>
      <c r="F86" s="1" t="s">
        <v>76</v>
      </c>
      <c r="G86" s="1" t="s">
        <v>68</v>
      </c>
      <c r="H86" s="1" t="s">
        <v>19</v>
      </c>
      <c r="I86" s="1" t="s">
        <v>331</v>
      </c>
      <c r="J86" s="1" t="s">
        <v>332</v>
      </c>
      <c r="K86" s="1" t="str">
        <f>VLOOKUP(J86,'IU Major Match'!$D$2:$E$65,2,FALSE)</f>
        <v>Major Dont exists in IU</v>
      </c>
      <c r="L86" s="1">
        <v>71807654</v>
      </c>
      <c r="M86" s="1" t="s">
        <v>113</v>
      </c>
      <c r="N86" s="11">
        <v>99</v>
      </c>
      <c r="O86" s="11">
        <v>18</v>
      </c>
      <c r="P86" s="11">
        <v>9</v>
      </c>
      <c r="Q86" s="11">
        <v>72</v>
      </c>
      <c r="R86" s="5">
        <f t="shared" si="4"/>
        <v>0.27272727272727271</v>
      </c>
      <c r="S86" s="13" t="str">
        <f t="shared" si="5"/>
        <v>=&lt;50</v>
      </c>
      <c r="T86" s="14">
        <f t="shared" si="6"/>
        <v>5</v>
      </c>
      <c r="U86" s="14">
        <f t="shared" si="7"/>
        <v>2.5</v>
      </c>
    </row>
    <row r="87" spans="1:21" x14ac:dyDescent="0.25">
      <c r="A87" s="1">
        <v>62530112</v>
      </c>
      <c r="B87" s="1">
        <v>222138</v>
      </c>
      <c r="C87" s="1" t="s">
        <v>333</v>
      </c>
      <c r="D87" s="1" t="s">
        <v>231</v>
      </c>
      <c r="E87" s="1" t="s">
        <v>334</v>
      </c>
      <c r="F87" s="1" t="s">
        <v>76</v>
      </c>
      <c r="G87" s="1" t="s">
        <v>93</v>
      </c>
      <c r="H87" s="1" t="s">
        <v>19</v>
      </c>
      <c r="I87" s="1" t="s">
        <v>138</v>
      </c>
      <c r="J87" s="1" t="s">
        <v>139</v>
      </c>
      <c r="K87" s="1" t="str">
        <f>VLOOKUP(J87,'IU Major Match'!$D$2:$E$65,2,FALSE)</f>
        <v xml:space="preserve">Major exists in IU </v>
      </c>
      <c r="L87" s="1">
        <v>96178730550</v>
      </c>
      <c r="M87" s="1" t="s">
        <v>99</v>
      </c>
      <c r="N87" s="11">
        <v>99</v>
      </c>
      <c r="O87" s="11">
        <v>15</v>
      </c>
      <c r="P87" s="11">
        <v>18</v>
      </c>
      <c r="Q87" s="11">
        <v>66</v>
      </c>
      <c r="R87" s="5">
        <f t="shared" si="4"/>
        <v>0.33333333333333331</v>
      </c>
      <c r="S87" s="13" t="str">
        <f t="shared" si="5"/>
        <v>=&lt;50</v>
      </c>
      <c r="T87" s="14">
        <f t="shared" si="6"/>
        <v>5</v>
      </c>
      <c r="U87" s="14">
        <f t="shared" si="7"/>
        <v>2.5</v>
      </c>
    </row>
    <row r="88" spans="1:21" x14ac:dyDescent="0.25">
      <c r="A88" s="1">
        <v>62430103</v>
      </c>
      <c r="B88" s="1">
        <v>210062</v>
      </c>
      <c r="C88" s="1" t="s">
        <v>335</v>
      </c>
      <c r="D88" s="1" t="s">
        <v>336</v>
      </c>
      <c r="E88" s="1" t="s">
        <v>337</v>
      </c>
      <c r="F88" s="1" t="s">
        <v>76</v>
      </c>
      <c r="G88" s="1" t="s">
        <v>93</v>
      </c>
      <c r="H88" s="1" t="s">
        <v>19</v>
      </c>
      <c r="I88" s="1" t="s">
        <v>107</v>
      </c>
      <c r="J88" s="1" t="s">
        <v>108</v>
      </c>
      <c r="K88" s="1" t="str">
        <f>VLOOKUP(J88,'IU Major Match'!$D$2:$E$65,2,FALSE)</f>
        <v xml:space="preserve">Major exists in IU </v>
      </c>
      <c r="L88" s="1">
        <v>96181859161</v>
      </c>
      <c r="M88" s="1" t="s">
        <v>113</v>
      </c>
      <c r="N88" s="11">
        <v>99</v>
      </c>
      <c r="O88" s="11">
        <v>36</v>
      </c>
      <c r="P88" s="11">
        <v>12</v>
      </c>
      <c r="Q88" s="11">
        <v>51</v>
      </c>
      <c r="R88" s="5">
        <f t="shared" si="4"/>
        <v>0.48484848484848486</v>
      </c>
      <c r="S88" s="13" t="str">
        <f t="shared" si="5"/>
        <v>=&lt;50</v>
      </c>
      <c r="T88" s="14">
        <f t="shared" si="6"/>
        <v>4</v>
      </c>
      <c r="U88" s="14">
        <f t="shared" si="7"/>
        <v>2</v>
      </c>
    </row>
    <row r="89" spans="1:21" x14ac:dyDescent="0.25">
      <c r="A89" s="1">
        <v>62330319</v>
      </c>
      <c r="B89" s="1">
        <v>206125</v>
      </c>
      <c r="C89" s="1" t="s">
        <v>338</v>
      </c>
      <c r="D89" s="1" t="s">
        <v>339</v>
      </c>
      <c r="E89" s="1" t="s">
        <v>340</v>
      </c>
      <c r="F89" s="1" t="s">
        <v>76</v>
      </c>
      <c r="G89" s="1" t="s">
        <v>23</v>
      </c>
      <c r="H89" s="1" t="s">
        <v>19</v>
      </c>
      <c r="I89" s="1" t="s">
        <v>142</v>
      </c>
      <c r="J89" s="1" t="s">
        <v>143</v>
      </c>
      <c r="K89" s="1" t="str">
        <f>VLOOKUP(J89,'IU Major Match'!$D$2:$E$65,2,FALSE)</f>
        <v xml:space="preserve">Major exists in IU </v>
      </c>
      <c r="L89" s="1">
        <v>96176849622</v>
      </c>
      <c r="M89" s="1" t="s">
        <v>90</v>
      </c>
      <c r="N89" s="11">
        <v>99</v>
      </c>
      <c r="O89" s="11">
        <v>24</v>
      </c>
      <c r="P89" s="11">
        <v>10</v>
      </c>
      <c r="Q89" s="11">
        <v>69</v>
      </c>
      <c r="R89" s="5">
        <f t="shared" si="4"/>
        <v>0.34343434343434343</v>
      </c>
      <c r="S89" s="13" t="str">
        <f t="shared" si="5"/>
        <v>=&lt;50</v>
      </c>
      <c r="T89" s="14">
        <f t="shared" si="6"/>
        <v>5</v>
      </c>
      <c r="U89" s="14">
        <f t="shared" si="7"/>
        <v>2.5</v>
      </c>
    </row>
    <row r="90" spans="1:21" x14ac:dyDescent="0.25">
      <c r="A90" s="1">
        <v>62610019</v>
      </c>
      <c r="B90" s="1">
        <v>227382</v>
      </c>
      <c r="C90" s="1" t="s">
        <v>338</v>
      </c>
      <c r="D90" s="1" t="s">
        <v>198</v>
      </c>
      <c r="E90" s="1" t="s">
        <v>43</v>
      </c>
      <c r="F90" s="1" t="s">
        <v>76</v>
      </c>
      <c r="G90" s="1" t="s">
        <v>93</v>
      </c>
      <c r="H90" s="1" t="s">
        <v>19</v>
      </c>
      <c r="I90" s="1" t="s">
        <v>184</v>
      </c>
      <c r="J90" s="1" t="s">
        <v>185</v>
      </c>
      <c r="K90" s="1" t="str">
        <f>VLOOKUP(J90,'IU Major Match'!$D$2:$E$65,2,FALSE)</f>
        <v>Major Dont exists in IU</v>
      </c>
      <c r="L90" s="1">
        <v>96181403186</v>
      </c>
      <c r="M90" s="1" t="s">
        <v>84</v>
      </c>
      <c r="N90" s="11">
        <v>99</v>
      </c>
      <c r="O90" s="11">
        <v>30</v>
      </c>
      <c r="P90" s="11">
        <v>12</v>
      </c>
      <c r="Q90" s="11">
        <v>57</v>
      </c>
      <c r="R90" s="5">
        <f t="shared" si="4"/>
        <v>0.42424242424242425</v>
      </c>
      <c r="S90" s="13" t="str">
        <f t="shared" si="5"/>
        <v>=&lt;50</v>
      </c>
      <c r="T90" s="14">
        <f t="shared" si="6"/>
        <v>4</v>
      </c>
      <c r="U90" s="14">
        <f t="shared" si="7"/>
        <v>2</v>
      </c>
    </row>
    <row r="91" spans="1:21" x14ac:dyDescent="0.25">
      <c r="A91" s="1">
        <v>62430031</v>
      </c>
      <c r="B91" s="1">
        <v>209486</v>
      </c>
      <c r="C91" s="1" t="s">
        <v>341</v>
      </c>
      <c r="D91" s="1" t="s">
        <v>145</v>
      </c>
      <c r="E91" s="1" t="s">
        <v>334</v>
      </c>
      <c r="F91" s="1" t="s">
        <v>76</v>
      </c>
      <c r="G91" s="1" t="s">
        <v>93</v>
      </c>
      <c r="H91" s="1" t="s">
        <v>19</v>
      </c>
      <c r="I91" s="1" t="s">
        <v>107</v>
      </c>
      <c r="J91" s="1" t="s">
        <v>108</v>
      </c>
      <c r="K91" s="1" t="str">
        <f>VLOOKUP(J91,'IU Major Match'!$D$2:$E$65,2,FALSE)</f>
        <v xml:space="preserve">Major exists in IU </v>
      </c>
      <c r="L91" s="1">
        <v>81225695</v>
      </c>
      <c r="M91" s="1" t="s">
        <v>113</v>
      </c>
      <c r="N91" s="11">
        <v>99</v>
      </c>
      <c r="O91" s="11">
        <v>39</v>
      </c>
      <c r="P91" s="11">
        <v>18</v>
      </c>
      <c r="Q91" s="11">
        <v>42</v>
      </c>
      <c r="R91" s="5">
        <f t="shared" si="4"/>
        <v>0.5757575757575758</v>
      </c>
      <c r="S91" s="13" t="str">
        <f t="shared" si="5"/>
        <v>&gt;50</v>
      </c>
      <c r="T91" s="14">
        <f t="shared" si="6"/>
        <v>3</v>
      </c>
      <c r="U91" s="14">
        <f t="shared" si="7"/>
        <v>1.5</v>
      </c>
    </row>
    <row r="92" spans="1:21" x14ac:dyDescent="0.25">
      <c r="A92" s="1">
        <v>62310030</v>
      </c>
      <c r="B92" s="1">
        <v>197485</v>
      </c>
      <c r="C92" s="1" t="s">
        <v>342</v>
      </c>
      <c r="D92" s="1" t="s">
        <v>261</v>
      </c>
      <c r="E92" s="1" t="s">
        <v>343</v>
      </c>
      <c r="F92" s="1" t="s">
        <v>76</v>
      </c>
      <c r="G92" s="1" t="s">
        <v>23</v>
      </c>
      <c r="H92" s="1" t="s">
        <v>19</v>
      </c>
      <c r="I92" s="1" t="s">
        <v>116</v>
      </c>
      <c r="J92" s="1" t="s">
        <v>117</v>
      </c>
      <c r="K92" s="1" t="str">
        <f>VLOOKUP(J92,'IU Major Match'!$D$2:$E$65,2,FALSE)</f>
        <v>Major Dont exists in IU</v>
      </c>
      <c r="L92" s="1">
        <v>9613088295</v>
      </c>
      <c r="M92" s="1" t="s">
        <v>178</v>
      </c>
      <c r="N92" s="11">
        <v>99</v>
      </c>
      <c r="O92" s="11">
        <v>74</v>
      </c>
      <c r="P92" s="11">
        <v>13</v>
      </c>
      <c r="Q92" s="11">
        <v>12</v>
      </c>
      <c r="R92" s="5">
        <f t="shared" si="4"/>
        <v>0.87878787878787878</v>
      </c>
      <c r="S92" s="13" t="str">
        <f t="shared" si="5"/>
        <v>&gt;50</v>
      </c>
      <c r="T92" s="14">
        <f t="shared" si="6"/>
        <v>1</v>
      </c>
      <c r="U92" s="14">
        <f t="shared" si="7"/>
        <v>0.5</v>
      </c>
    </row>
    <row r="93" spans="1:21" x14ac:dyDescent="0.25">
      <c r="A93" s="1">
        <v>62430189</v>
      </c>
      <c r="B93" s="1">
        <v>213434</v>
      </c>
      <c r="C93" s="1" t="s">
        <v>342</v>
      </c>
      <c r="D93" s="1" t="s">
        <v>43</v>
      </c>
      <c r="E93" s="1" t="s">
        <v>344</v>
      </c>
      <c r="F93" s="1" t="s">
        <v>76</v>
      </c>
      <c r="G93" s="1" t="s">
        <v>93</v>
      </c>
      <c r="H93" s="1" t="s">
        <v>19</v>
      </c>
      <c r="I93" s="1" t="s">
        <v>345</v>
      </c>
      <c r="J93" s="1" t="s">
        <v>346</v>
      </c>
      <c r="K93" s="1" t="str">
        <f>VLOOKUP(J93,'IU Major Match'!$D$2:$E$65,2,FALSE)</f>
        <v xml:space="preserve">Major exists in IU </v>
      </c>
      <c r="L93" s="1">
        <v>71689585</v>
      </c>
      <c r="M93" s="1" t="s">
        <v>113</v>
      </c>
      <c r="N93" s="11">
        <v>99</v>
      </c>
      <c r="O93" s="11">
        <v>27</v>
      </c>
      <c r="P93" s="11">
        <v>18</v>
      </c>
      <c r="Q93" s="11">
        <v>54</v>
      </c>
      <c r="R93" s="5">
        <f t="shared" si="4"/>
        <v>0.45454545454545453</v>
      </c>
      <c r="S93" s="13" t="str">
        <f t="shared" si="5"/>
        <v>=&lt;50</v>
      </c>
      <c r="T93" s="14">
        <f t="shared" si="6"/>
        <v>4</v>
      </c>
      <c r="U93" s="14">
        <f t="shared" si="7"/>
        <v>2</v>
      </c>
    </row>
    <row r="94" spans="1:21" x14ac:dyDescent="0.25">
      <c r="A94" s="1">
        <v>62530203</v>
      </c>
      <c r="B94" s="1">
        <v>224969</v>
      </c>
      <c r="C94" s="1" t="s">
        <v>342</v>
      </c>
      <c r="D94" s="1" t="s">
        <v>347</v>
      </c>
      <c r="E94" s="1" t="s">
        <v>348</v>
      </c>
      <c r="F94" s="1" t="s">
        <v>76</v>
      </c>
      <c r="G94" s="1" t="s">
        <v>93</v>
      </c>
      <c r="H94" s="1" t="s">
        <v>19</v>
      </c>
      <c r="I94" s="1" t="s">
        <v>349</v>
      </c>
      <c r="J94" s="1" t="s">
        <v>350</v>
      </c>
      <c r="K94" s="1" t="str">
        <f>VLOOKUP(J94,'IU Major Match'!$D$2:$E$65,2,FALSE)</f>
        <v xml:space="preserve">Major exists in IU </v>
      </c>
      <c r="L94" s="1">
        <v>71080246</v>
      </c>
      <c r="M94" s="1" t="s">
        <v>99</v>
      </c>
      <c r="N94" s="11">
        <v>99</v>
      </c>
      <c r="O94" s="11">
        <v>9</v>
      </c>
      <c r="P94" s="11">
        <v>12</v>
      </c>
      <c r="Q94" s="11">
        <v>78</v>
      </c>
      <c r="R94" s="5">
        <f t="shared" si="4"/>
        <v>0.21212121212121213</v>
      </c>
      <c r="S94" s="13" t="str">
        <f t="shared" si="5"/>
        <v>=&lt;50</v>
      </c>
      <c r="T94" s="14">
        <f t="shared" si="6"/>
        <v>6</v>
      </c>
      <c r="U94" s="14">
        <f t="shared" si="7"/>
        <v>3</v>
      </c>
    </row>
    <row r="95" spans="1:21" x14ac:dyDescent="0.25">
      <c r="A95" s="1">
        <v>62230191</v>
      </c>
      <c r="B95" s="1">
        <v>187252</v>
      </c>
      <c r="C95" s="1" t="s">
        <v>342</v>
      </c>
      <c r="D95" s="1" t="s">
        <v>92</v>
      </c>
      <c r="E95" s="1" t="s">
        <v>351</v>
      </c>
      <c r="F95" s="1" t="s">
        <v>76</v>
      </c>
      <c r="G95" s="1" t="s">
        <v>23</v>
      </c>
      <c r="H95" s="1" t="s">
        <v>19</v>
      </c>
      <c r="I95" s="1" t="s">
        <v>159</v>
      </c>
      <c r="J95" s="1" t="s">
        <v>160</v>
      </c>
      <c r="K95" s="1" t="str">
        <f>VLOOKUP(J95,'IU Major Match'!$D$2:$E$65,2,FALSE)</f>
        <v xml:space="preserve">Major exists in IU </v>
      </c>
      <c r="L95" s="1">
        <v>70418659</v>
      </c>
      <c r="M95" s="1" t="s">
        <v>153</v>
      </c>
      <c r="N95" s="11">
        <v>99</v>
      </c>
      <c r="O95" s="11">
        <v>90</v>
      </c>
      <c r="P95" s="11">
        <v>9</v>
      </c>
      <c r="Q95" s="11">
        <v>0</v>
      </c>
      <c r="R95" s="5">
        <f t="shared" si="4"/>
        <v>1</v>
      </c>
      <c r="S95" s="13" t="str">
        <f t="shared" si="5"/>
        <v>&gt;50</v>
      </c>
      <c r="T95" s="14">
        <f t="shared" si="6"/>
        <v>0</v>
      </c>
      <c r="U95" s="14">
        <f t="shared" si="7"/>
        <v>0</v>
      </c>
    </row>
    <row r="96" spans="1:21" x14ac:dyDescent="0.25">
      <c r="A96" s="1">
        <v>62230340</v>
      </c>
      <c r="B96" s="1">
        <v>191793</v>
      </c>
      <c r="C96" s="1" t="s">
        <v>342</v>
      </c>
      <c r="D96" s="1" t="s">
        <v>352</v>
      </c>
      <c r="E96" s="1" t="s">
        <v>353</v>
      </c>
      <c r="F96" s="1" t="s">
        <v>76</v>
      </c>
      <c r="G96" s="1" t="s">
        <v>23</v>
      </c>
      <c r="H96" s="1" t="s">
        <v>19</v>
      </c>
      <c r="I96" s="1" t="s">
        <v>151</v>
      </c>
      <c r="J96" s="1" t="s">
        <v>152</v>
      </c>
      <c r="K96" s="1" t="str">
        <f>VLOOKUP(J96,'IU Major Match'!$D$2:$E$65,2,FALSE)</f>
        <v>Major Dont exists in IU</v>
      </c>
      <c r="L96" s="1">
        <v>96171579063</v>
      </c>
      <c r="M96" s="1" t="s">
        <v>153</v>
      </c>
      <c r="N96" s="11">
        <v>105</v>
      </c>
      <c r="O96" s="11">
        <v>94</v>
      </c>
      <c r="P96" s="11">
        <v>5</v>
      </c>
      <c r="Q96" s="11">
        <v>6</v>
      </c>
      <c r="R96" s="5">
        <f t="shared" si="4"/>
        <v>0.94285714285714284</v>
      </c>
      <c r="S96" s="13" t="str">
        <f t="shared" si="5"/>
        <v>&gt;50</v>
      </c>
      <c r="T96" s="14">
        <f t="shared" si="6"/>
        <v>1</v>
      </c>
      <c r="U96" s="14">
        <f t="shared" si="7"/>
        <v>0.5</v>
      </c>
    </row>
    <row r="97" spans="1:21" x14ac:dyDescent="0.25">
      <c r="A97" s="1">
        <v>62530062</v>
      </c>
      <c r="B97" s="1">
        <v>220482</v>
      </c>
      <c r="C97" s="1" t="s">
        <v>342</v>
      </c>
      <c r="D97" s="1" t="s">
        <v>119</v>
      </c>
      <c r="E97" s="1" t="s">
        <v>263</v>
      </c>
      <c r="F97" s="1" t="s">
        <v>76</v>
      </c>
      <c r="G97" s="1" t="s">
        <v>93</v>
      </c>
      <c r="H97" s="1" t="s">
        <v>19</v>
      </c>
      <c r="I97" s="1" t="s">
        <v>124</v>
      </c>
      <c r="J97" s="1" t="s">
        <v>125</v>
      </c>
      <c r="K97" s="1" t="str">
        <f>VLOOKUP(J97,'IU Major Match'!$D$2:$E$65,2,FALSE)</f>
        <v xml:space="preserve">Major exists in IU </v>
      </c>
      <c r="L97" s="1">
        <v>81307045</v>
      </c>
      <c r="M97" s="1" t="s">
        <v>99</v>
      </c>
      <c r="N97" s="11">
        <v>99</v>
      </c>
      <c r="O97" s="11">
        <v>15</v>
      </c>
      <c r="P97" s="11">
        <v>15</v>
      </c>
      <c r="Q97" s="11">
        <v>69</v>
      </c>
      <c r="R97" s="5">
        <f t="shared" si="4"/>
        <v>0.30303030303030304</v>
      </c>
      <c r="S97" s="13" t="str">
        <f t="shared" si="5"/>
        <v>=&lt;50</v>
      </c>
      <c r="T97" s="14">
        <f t="shared" si="6"/>
        <v>5</v>
      </c>
      <c r="U97" s="14">
        <f t="shared" si="7"/>
        <v>2.5</v>
      </c>
    </row>
    <row r="98" spans="1:21" x14ac:dyDescent="0.25">
      <c r="A98" s="1">
        <v>62330139</v>
      </c>
      <c r="B98" s="1">
        <v>199637</v>
      </c>
      <c r="C98" s="1" t="s">
        <v>354</v>
      </c>
      <c r="D98" s="1" t="s">
        <v>355</v>
      </c>
      <c r="E98" s="1" t="s">
        <v>356</v>
      </c>
      <c r="F98" s="1" t="s">
        <v>76</v>
      </c>
      <c r="G98" s="1" t="s">
        <v>93</v>
      </c>
      <c r="H98" s="1" t="s">
        <v>19</v>
      </c>
      <c r="I98" s="1" t="s">
        <v>133</v>
      </c>
      <c r="J98" s="1" t="s">
        <v>134</v>
      </c>
      <c r="K98" s="1" t="str">
        <f>VLOOKUP(J98,'IU Major Match'!$D$2:$E$65,2,FALSE)</f>
        <v xml:space="preserve">Major exists in IU </v>
      </c>
      <c r="L98" s="1">
        <v>96181822896</v>
      </c>
      <c r="M98" s="1" t="s">
        <v>90</v>
      </c>
      <c r="N98" s="11">
        <v>99</v>
      </c>
      <c r="O98" s="11">
        <v>39</v>
      </c>
      <c r="P98" s="11">
        <v>18</v>
      </c>
      <c r="Q98" s="11">
        <v>42</v>
      </c>
      <c r="R98" s="5">
        <f t="shared" si="4"/>
        <v>0.5757575757575758</v>
      </c>
      <c r="S98" s="13" t="str">
        <f t="shared" si="5"/>
        <v>&gt;50</v>
      </c>
      <c r="T98" s="14">
        <f t="shared" si="6"/>
        <v>3</v>
      </c>
      <c r="U98" s="14">
        <f t="shared" si="7"/>
        <v>1.5</v>
      </c>
    </row>
    <row r="99" spans="1:21" x14ac:dyDescent="0.25">
      <c r="A99" s="1">
        <v>62430099</v>
      </c>
      <c r="B99" s="1">
        <v>210608</v>
      </c>
      <c r="C99" s="1" t="s">
        <v>357</v>
      </c>
      <c r="D99" s="1" t="s">
        <v>279</v>
      </c>
      <c r="E99" s="1" t="s">
        <v>280</v>
      </c>
      <c r="F99" s="1" t="s">
        <v>76</v>
      </c>
      <c r="G99" s="1" t="s">
        <v>23</v>
      </c>
      <c r="H99" s="1" t="s">
        <v>19</v>
      </c>
      <c r="I99" s="1" t="s">
        <v>159</v>
      </c>
      <c r="J99" s="1" t="s">
        <v>160</v>
      </c>
      <c r="K99" s="1" t="str">
        <f>VLOOKUP(J99,'IU Major Match'!$D$2:$E$65,2,FALSE)</f>
        <v xml:space="preserve">Major exists in IU </v>
      </c>
      <c r="L99" s="1">
        <v>96181394854</v>
      </c>
      <c r="M99" s="1" t="s">
        <v>113</v>
      </c>
      <c r="N99" s="11">
        <v>99</v>
      </c>
      <c r="O99" s="11">
        <v>31</v>
      </c>
      <c r="P99" s="11">
        <v>19</v>
      </c>
      <c r="Q99" s="11">
        <v>49</v>
      </c>
      <c r="R99" s="5">
        <f t="shared" si="4"/>
        <v>0.50505050505050508</v>
      </c>
      <c r="S99" s="13" t="str">
        <f t="shared" si="5"/>
        <v>&gt;50</v>
      </c>
      <c r="T99" s="14">
        <f t="shared" si="6"/>
        <v>4</v>
      </c>
      <c r="U99" s="14">
        <f t="shared" si="7"/>
        <v>2</v>
      </c>
    </row>
    <row r="100" spans="1:21" x14ac:dyDescent="0.25">
      <c r="A100" s="1">
        <v>62410008</v>
      </c>
      <c r="B100" s="1">
        <v>207957</v>
      </c>
      <c r="C100" s="1" t="s">
        <v>358</v>
      </c>
      <c r="D100" s="1" t="s">
        <v>92</v>
      </c>
      <c r="E100" s="1" t="s">
        <v>359</v>
      </c>
      <c r="F100" s="1" t="s">
        <v>76</v>
      </c>
      <c r="G100" s="1" t="s">
        <v>23</v>
      </c>
      <c r="H100" s="1" t="s">
        <v>19</v>
      </c>
      <c r="I100" s="1" t="s">
        <v>360</v>
      </c>
      <c r="J100" s="1" t="s">
        <v>361</v>
      </c>
      <c r="K100" s="1" t="str">
        <f>VLOOKUP(J100,'IU Major Match'!$D$2:$E$65,2,FALSE)</f>
        <v xml:space="preserve">Major exists in IU </v>
      </c>
      <c r="L100" s="1">
        <v>76408024</v>
      </c>
      <c r="M100" s="1" t="s">
        <v>362</v>
      </c>
      <c r="N100" s="11">
        <v>108</v>
      </c>
      <c r="O100" s="11">
        <v>12</v>
      </c>
      <c r="P100" s="11">
        <v>18</v>
      </c>
      <c r="Q100" s="11">
        <v>84</v>
      </c>
      <c r="R100" s="5">
        <f t="shared" si="4"/>
        <v>0.27777777777777779</v>
      </c>
      <c r="S100" s="13" t="str">
        <f t="shared" si="5"/>
        <v>=&lt;50</v>
      </c>
      <c r="T100" s="14">
        <f t="shared" si="6"/>
        <v>6</v>
      </c>
      <c r="U100" s="14">
        <f t="shared" si="7"/>
        <v>3</v>
      </c>
    </row>
    <row r="101" spans="1:21" x14ac:dyDescent="0.25">
      <c r="A101" s="1">
        <v>62430305</v>
      </c>
      <c r="B101" s="1">
        <v>216243</v>
      </c>
      <c r="C101" s="1" t="s">
        <v>145</v>
      </c>
      <c r="D101" s="1" t="s">
        <v>38</v>
      </c>
      <c r="E101" s="1" t="s">
        <v>363</v>
      </c>
      <c r="F101" s="1" t="s">
        <v>76</v>
      </c>
      <c r="G101" s="1" t="s">
        <v>18</v>
      </c>
      <c r="H101" s="1" t="s">
        <v>19</v>
      </c>
      <c r="I101" s="1" t="s">
        <v>82</v>
      </c>
      <c r="J101" s="1" t="s">
        <v>83</v>
      </c>
      <c r="K101" s="1" t="str">
        <f>VLOOKUP(J101,'IU Major Match'!$D$2:$E$65,2,FALSE)</f>
        <v>Can be Transferred to Bachelor of Engineering</v>
      </c>
      <c r="L101" s="1">
        <v>76486906</v>
      </c>
      <c r="M101" s="1" t="s">
        <v>113</v>
      </c>
      <c r="N101" s="11">
        <v>108</v>
      </c>
      <c r="O101" s="11">
        <v>18</v>
      </c>
      <c r="P101" s="11">
        <v>12</v>
      </c>
      <c r="Q101" s="11">
        <v>78</v>
      </c>
      <c r="R101" s="5">
        <f t="shared" si="4"/>
        <v>0.27777777777777779</v>
      </c>
      <c r="S101" s="13" t="str">
        <f t="shared" si="5"/>
        <v>=&lt;50</v>
      </c>
      <c r="T101" s="14">
        <f t="shared" si="6"/>
        <v>6</v>
      </c>
      <c r="U101" s="14">
        <f t="shared" si="7"/>
        <v>3</v>
      </c>
    </row>
    <row r="102" spans="1:21" x14ac:dyDescent="0.25">
      <c r="A102" s="1">
        <v>62430122</v>
      </c>
      <c r="B102" s="1">
        <v>210056</v>
      </c>
      <c r="C102" s="1" t="s">
        <v>145</v>
      </c>
      <c r="D102" s="1" t="s">
        <v>101</v>
      </c>
      <c r="E102" s="1" t="s">
        <v>71</v>
      </c>
      <c r="F102" s="1" t="s">
        <v>76</v>
      </c>
      <c r="G102" s="1" t="s">
        <v>23</v>
      </c>
      <c r="H102" s="1" t="s">
        <v>19</v>
      </c>
      <c r="I102" s="1" t="s">
        <v>103</v>
      </c>
      <c r="J102" s="1" t="s">
        <v>104</v>
      </c>
      <c r="K102" s="1" t="str">
        <f>VLOOKUP(J102,'IU Major Match'!$D$2:$E$65,2,FALSE)</f>
        <v xml:space="preserve">Major exists in IU </v>
      </c>
      <c r="L102" s="1">
        <v>96176977711</v>
      </c>
      <c r="M102" s="1" t="s">
        <v>113</v>
      </c>
      <c r="N102" s="11">
        <v>100</v>
      </c>
      <c r="O102" s="11">
        <v>31</v>
      </c>
      <c r="P102" s="11">
        <v>10</v>
      </c>
      <c r="Q102" s="11">
        <v>59</v>
      </c>
      <c r="R102" s="5">
        <f t="shared" si="4"/>
        <v>0.41</v>
      </c>
      <c r="S102" s="13" t="str">
        <f t="shared" si="5"/>
        <v>=&lt;50</v>
      </c>
      <c r="T102" s="14">
        <f t="shared" si="6"/>
        <v>4</v>
      </c>
      <c r="U102" s="14">
        <f t="shared" si="7"/>
        <v>2</v>
      </c>
    </row>
    <row r="103" spans="1:21" x14ac:dyDescent="0.25">
      <c r="A103" s="1">
        <v>62530159</v>
      </c>
      <c r="B103" s="1">
        <v>222452</v>
      </c>
      <c r="C103" s="1" t="s">
        <v>145</v>
      </c>
      <c r="D103" s="1" t="s">
        <v>364</v>
      </c>
      <c r="E103" s="1" t="s">
        <v>365</v>
      </c>
      <c r="F103" s="1" t="s">
        <v>76</v>
      </c>
      <c r="G103" s="1" t="s">
        <v>93</v>
      </c>
      <c r="H103" s="1" t="s">
        <v>19</v>
      </c>
      <c r="I103" s="1" t="s">
        <v>138</v>
      </c>
      <c r="J103" s="1" t="s">
        <v>139</v>
      </c>
      <c r="K103" s="1" t="str">
        <f>VLOOKUP(J103,'IU Major Match'!$D$2:$E$65,2,FALSE)</f>
        <v xml:space="preserve">Major exists in IU </v>
      </c>
      <c r="L103" s="1">
        <v>96170435565</v>
      </c>
      <c r="M103" s="1" t="s">
        <v>99</v>
      </c>
      <c r="N103" s="11">
        <v>99</v>
      </c>
      <c r="O103" s="11">
        <v>9</v>
      </c>
      <c r="P103" s="11">
        <v>13</v>
      </c>
      <c r="Q103" s="11">
        <v>81</v>
      </c>
      <c r="R103" s="5">
        <f t="shared" si="4"/>
        <v>0.22222222222222221</v>
      </c>
      <c r="S103" s="13" t="str">
        <f t="shared" si="5"/>
        <v>=&lt;50</v>
      </c>
      <c r="T103" s="14">
        <f t="shared" si="6"/>
        <v>6</v>
      </c>
      <c r="U103" s="14">
        <f t="shared" si="7"/>
        <v>3</v>
      </c>
    </row>
    <row r="104" spans="1:21" x14ac:dyDescent="0.25">
      <c r="A104" s="1">
        <v>62530231</v>
      </c>
      <c r="B104" s="1">
        <v>224519</v>
      </c>
      <c r="C104" s="1" t="s">
        <v>145</v>
      </c>
      <c r="D104" s="1" t="s">
        <v>366</v>
      </c>
      <c r="E104" s="1" t="s">
        <v>26</v>
      </c>
      <c r="F104" s="1" t="s">
        <v>76</v>
      </c>
      <c r="G104" s="1" t="s">
        <v>93</v>
      </c>
      <c r="H104" s="1" t="s">
        <v>19</v>
      </c>
      <c r="I104" s="1" t="s">
        <v>349</v>
      </c>
      <c r="J104" s="1" t="s">
        <v>350</v>
      </c>
      <c r="K104" s="1" t="str">
        <f>VLOOKUP(J104,'IU Major Match'!$D$2:$E$65,2,FALSE)</f>
        <v xml:space="preserve">Major exists in IU </v>
      </c>
      <c r="L104" s="1">
        <v>9613100187</v>
      </c>
      <c r="M104" s="1" t="s">
        <v>99</v>
      </c>
      <c r="N104" s="11">
        <v>99</v>
      </c>
      <c r="O104" s="11">
        <v>0</v>
      </c>
      <c r="P104" s="11">
        <v>12</v>
      </c>
      <c r="Q104" s="11">
        <v>87</v>
      </c>
      <c r="R104" s="5">
        <f t="shared" si="4"/>
        <v>0.12121212121212122</v>
      </c>
      <c r="S104" s="13" t="str">
        <f t="shared" si="5"/>
        <v>=&lt;50</v>
      </c>
      <c r="T104" s="14">
        <f t="shared" si="6"/>
        <v>6</v>
      </c>
      <c r="U104" s="14">
        <f t="shared" si="7"/>
        <v>3</v>
      </c>
    </row>
    <row r="105" spans="1:21" x14ac:dyDescent="0.25">
      <c r="A105" s="1">
        <v>62230160</v>
      </c>
      <c r="B105" s="1">
        <v>189151</v>
      </c>
      <c r="C105" s="1" t="s">
        <v>145</v>
      </c>
      <c r="D105" s="1" t="s">
        <v>367</v>
      </c>
      <c r="E105" s="1" t="s">
        <v>368</v>
      </c>
      <c r="F105" s="1" t="s">
        <v>76</v>
      </c>
      <c r="G105" s="1" t="s">
        <v>93</v>
      </c>
      <c r="H105" s="1" t="s">
        <v>19</v>
      </c>
      <c r="I105" s="1" t="s">
        <v>320</v>
      </c>
      <c r="J105" s="1" t="s">
        <v>321</v>
      </c>
      <c r="K105" s="1" t="str">
        <f>VLOOKUP(J105,'IU Major Match'!$D$2:$E$65,2,FALSE)</f>
        <v xml:space="preserve">Major exists in IU </v>
      </c>
      <c r="L105" s="1">
        <v>81652114</v>
      </c>
      <c r="M105" s="1" t="s">
        <v>153</v>
      </c>
      <c r="N105" s="11">
        <v>99</v>
      </c>
      <c r="O105" s="11">
        <v>90</v>
      </c>
      <c r="P105" s="11">
        <v>9</v>
      </c>
      <c r="Q105" s="11">
        <v>0</v>
      </c>
      <c r="R105" s="5">
        <f t="shared" si="4"/>
        <v>1</v>
      </c>
      <c r="S105" s="13" t="str">
        <f t="shared" si="5"/>
        <v>&gt;50</v>
      </c>
      <c r="T105" s="14">
        <f t="shared" si="6"/>
        <v>0</v>
      </c>
      <c r="U105" s="14">
        <f t="shared" si="7"/>
        <v>0</v>
      </c>
    </row>
    <row r="106" spans="1:21" x14ac:dyDescent="0.25">
      <c r="A106" s="1">
        <v>62130474</v>
      </c>
      <c r="B106" s="1">
        <v>226608</v>
      </c>
      <c r="C106" s="1" t="s">
        <v>145</v>
      </c>
      <c r="D106" s="1" t="s">
        <v>369</v>
      </c>
      <c r="E106" s="1" t="s">
        <v>370</v>
      </c>
      <c r="F106" s="1" t="s">
        <v>76</v>
      </c>
      <c r="G106" s="1" t="s">
        <v>18</v>
      </c>
      <c r="H106" s="1" t="s">
        <v>19</v>
      </c>
      <c r="I106" s="1" t="s">
        <v>164</v>
      </c>
      <c r="J106" s="1" t="s">
        <v>165</v>
      </c>
      <c r="K106" s="1" t="str">
        <f>VLOOKUP(J106,'IU Major Match'!$D$2:$E$65,2,FALSE)</f>
        <v>Can be Transferred to Bachelor of Engineering</v>
      </c>
      <c r="L106" s="1">
        <v>76377161</v>
      </c>
      <c r="M106" s="1" t="s">
        <v>99</v>
      </c>
      <c r="N106" s="11">
        <v>108</v>
      </c>
      <c r="O106" s="11">
        <v>43</v>
      </c>
      <c r="P106" s="11">
        <v>6</v>
      </c>
      <c r="Q106" s="11">
        <v>59</v>
      </c>
      <c r="R106" s="5">
        <f t="shared" si="4"/>
        <v>0.45370370370370372</v>
      </c>
      <c r="S106" s="13" t="str">
        <f t="shared" si="5"/>
        <v>=&lt;50</v>
      </c>
      <c r="T106" s="14">
        <f t="shared" si="6"/>
        <v>4</v>
      </c>
      <c r="U106" s="14">
        <f t="shared" si="7"/>
        <v>2</v>
      </c>
    </row>
    <row r="107" spans="1:21" x14ac:dyDescent="0.25">
      <c r="A107" s="1">
        <v>62130201</v>
      </c>
      <c r="B107" s="1">
        <v>173666</v>
      </c>
      <c r="C107" s="1" t="s">
        <v>145</v>
      </c>
      <c r="D107" s="1" t="s">
        <v>129</v>
      </c>
      <c r="E107" s="1" t="s">
        <v>371</v>
      </c>
      <c r="F107" s="1" t="s">
        <v>76</v>
      </c>
      <c r="G107" s="1" t="s">
        <v>93</v>
      </c>
      <c r="H107" s="1" t="s">
        <v>19</v>
      </c>
      <c r="I107" s="1" t="s">
        <v>133</v>
      </c>
      <c r="J107" s="1" t="s">
        <v>134</v>
      </c>
      <c r="K107" s="1" t="str">
        <f>VLOOKUP(J107,'IU Major Match'!$D$2:$E$65,2,FALSE)</f>
        <v xml:space="preserve">Major exists in IU </v>
      </c>
      <c r="L107" s="1">
        <v>70403296</v>
      </c>
      <c r="M107" s="1" t="s">
        <v>79</v>
      </c>
      <c r="N107" s="11">
        <v>99</v>
      </c>
      <c r="O107" s="11">
        <v>87</v>
      </c>
      <c r="P107" s="11">
        <v>12</v>
      </c>
      <c r="Q107" s="11">
        <v>0</v>
      </c>
      <c r="R107" s="5">
        <f t="shared" si="4"/>
        <v>1</v>
      </c>
      <c r="S107" s="13" t="str">
        <f t="shared" si="5"/>
        <v>&gt;50</v>
      </c>
      <c r="T107" s="14">
        <f t="shared" si="6"/>
        <v>0</v>
      </c>
      <c r="U107" s="14">
        <f t="shared" si="7"/>
        <v>0</v>
      </c>
    </row>
    <row r="108" spans="1:21" x14ac:dyDescent="0.25">
      <c r="A108" s="1">
        <v>62030024</v>
      </c>
      <c r="B108" s="1">
        <v>151897</v>
      </c>
      <c r="C108" s="1" t="s">
        <v>145</v>
      </c>
      <c r="D108" s="1" t="s">
        <v>372</v>
      </c>
      <c r="E108" s="1" t="s">
        <v>373</v>
      </c>
      <c r="F108" s="1" t="s">
        <v>76</v>
      </c>
      <c r="G108" s="1" t="s">
        <v>93</v>
      </c>
      <c r="H108" s="1" t="s">
        <v>19</v>
      </c>
      <c r="I108" s="1" t="s">
        <v>107</v>
      </c>
      <c r="J108" s="1" t="s">
        <v>108</v>
      </c>
      <c r="K108" s="1" t="str">
        <f>VLOOKUP(J108,'IU Major Match'!$D$2:$E$65,2,FALSE)</f>
        <v xml:space="preserve">Major exists in IU </v>
      </c>
      <c r="L108" s="1">
        <v>79183314</v>
      </c>
      <c r="M108" s="1" t="s">
        <v>51</v>
      </c>
      <c r="N108" s="11">
        <v>99</v>
      </c>
      <c r="O108" s="11">
        <v>33</v>
      </c>
      <c r="P108" s="11">
        <v>12</v>
      </c>
      <c r="Q108" s="11">
        <v>54</v>
      </c>
      <c r="R108" s="5">
        <f t="shared" si="4"/>
        <v>0.45454545454545453</v>
      </c>
      <c r="S108" s="13" t="str">
        <f t="shared" si="5"/>
        <v>=&lt;50</v>
      </c>
      <c r="T108" s="14">
        <f t="shared" si="6"/>
        <v>4</v>
      </c>
      <c r="U108" s="14">
        <f t="shared" si="7"/>
        <v>2</v>
      </c>
    </row>
    <row r="109" spans="1:21" x14ac:dyDescent="0.25">
      <c r="A109" s="1">
        <v>62230190</v>
      </c>
      <c r="B109" s="1">
        <v>188625</v>
      </c>
      <c r="C109" s="1" t="s">
        <v>145</v>
      </c>
      <c r="D109" s="1" t="s">
        <v>374</v>
      </c>
      <c r="E109" s="1" t="s">
        <v>375</v>
      </c>
      <c r="F109" s="1" t="s">
        <v>76</v>
      </c>
      <c r="G109" s="1" t="s">
        <v>23</v>
      </c>
      <c r="H109" s="1" t="s">
        <v>19</v>
      </c>
      <c r="I109" s="1" t="s">
        <v>103</v>
      </c>
      <c r="J109" s="1" t="s">
        <v>104</v>
      </c>
      <c r="K109" s="1" t="str">
        <f>VLOOKUP(J109,'IU Major Match'!$D$2:$E$65,2,FALSE)</f>
        <v xml:space="preserve">Major exists in IU </v>
      </c>
      <c r="L109" s="1">
        <v>81487091</v>
      </c>
      <c r="M109" s="1" t="s">
        <v>153</v>
      </c>
      <c r="N109" s="11">
        <v>100</v>
      </c>
      <c r="O109" s="11">
        <v>64</v>
      </c>
      <c r="P109" s="11">
        <v>12</v>
      </c>
      <c r="Q109" s="11">
        <v>24</v>
      </c>
      <c r="R109" s="5">
        <f t="shared" si="4"/>
        <v>0.76</v>
      </c>
      <c r="S109" s="13" t="str">
        <f t="shared" si="5"/>
        <v>&gt;50</v>
      </c>
      <c r="T109" s="14">
        <f t="shared" si="6"/>
        <v>2</v>
      </c>
      <c r="U109" s="14">
        <f t="shared" si="7"/>
        <v>1</v>
      </c>
    </row>
    <row r="110" spans="1:21" x14ac:dyDescent="0.25">
      <c r="A110" s="1">
        <v>62430045</v>
      </c>
      <c r="B110" s="1">
        <v>209726</v>
      </c>
      <c r="C110" s="1" t="s">
        <v>145</v>
      </c>
      <c r="D110" s="1" t="s">
        <v>376</v>
      </c>
      <c r="E110" s="1" t="s">
        <v>377</v>
      </c>
      <c r="F110" s="1" t="s">
        <v>76</v>
      </c>
      <c r="G110" s="1" t="s">
        <v>93</v>
      </c>
      <c r="H110" s="1" t="s">
        <v>19</v>
      </c>
      <c r="I110" s="1" t="s">
        <v>124</v>
      </c>
      <c r="J110" s="1" t="s">
        <v>125</v>
      </c>
      <c r="K110" s="1" t="str">
        <f>VLOOKUP(J110,'IU Major Match'!$D$2:$E$65,2,FALSE)</f>
        <v xml:space="preserve">Major exists in IU </v>
      </c>
      <c r="L110" s="1">
        <v>96171523131</v>
      </c>
      <c r="M110" s="1" t="s">
        <v>113</v>
      </c>
      <c r="N110" s="11">
        <v>99</v>
      </c>
      <c r="O110" s="11">
        <v>12</v>
      </c>
      <c r="P110" s="11">
        <v>15</v>
      </c>
      <c r="Q110" s="11">
        <v>81</v>
      </c>
      <c r="R110" s="5">
        <f t="shared" si="4"/>
        <v>0.27272727272727271</v>
      </c>
      <c r="S110" s="13" t="str">
        <f t="shared" si="5"/>
        <v>=&lt;50</v>
      </c>
      <c r="T110" s="14">
        <f t="shared" si="6"/>
        <v>6</v>
      </c>
      <c r="U110" s="14">
        <f t="shared" si="7"/>
        <v>3</v>
      </c>
    </row>
    <row r="111" spans="1:21" x14ac:dyDescent="0.25">
      <c r="A111" s="1">
        <v>62530106</v>
      </c>
      <c r="B111" s="1">
        <v>220477</v>
      </c>
      <c r="C111" s="1" t="s">
        <v>145</v>
      </c>
      <c r="D111" s="1" t="s">
        <v>378</v>
      </c>
      <c r="E111" s="1" t="s">
        <v>379</v>
      </c>
      <c r="F111" s="1" t="s">
        <v>76</v>
      </c>
      <c r="G111" s="1" t="s">
        <v>93</v>
      </c>
      <c r="H111" s="1" t="s">
        <v>19</v>
      </c>
      <c r="I111" s="1" t="s">
        <v>349</v>
      </c>
      <c r="J111" s="1" t="s">
        <v>350</v>
      </c>
      <c r="K111" s="1" t="str">
        <f>VLOOKUP(J111,'IU Major Match'!$D$2:$E$65,2,FALSE)</f>
        <v xml:space="preserve">Major exists in IU </v>
      </c>
      <c r="L111" s="1">
        <v>96181905643</v>
      </c>
      <c r="M111" s="1" t="s">
        <v>99</v>
      </c>
      <c r="N111" s="11">
        <v>99</v>
      </c>
      <c r="O111" s="11">
        <v>15</v>
      </c>
      <c r="P111" s="11">
        <v>12</v>
      </c>
      <c r="Q111" s="11">
        <v>72</v>
      </c>
      <c r="R111" s="5">
        <f t="shared" si="4"/>
        <v>0.27272727272727271</v>
      </c>
      <c r="S111" s="13" t="str">
        <f t="shared" si="5"/>
        <v>=&lt;50</v>
      </c>
      <c r="T111" s="14">
        <f t="shared" si="6"/>
        <v>5</v>
      </c>
      <c r="U111" s="14">
        <f t="shared" si="7"/>
        <v>2.5</v>
      </c>
    </row>
    <row r="112" spans="1:21" x14ac:dyDescent="0.25">
      <c r="A112" s="1">
        <v>62130106</v>
      </c>
      <c r="B112" s="1">
        <v>168050</v>
      </c>
      <c r="C112" s="1" t="s">
        <v>145</v>
      </c>
      <c r="D112" s="1" t="s">
        <v>380</v>
      </c>
      <c r="E112" s="1" t="s">
        <v>381</v>
      </c>
      <c r="F112" s="1" t="s">
        <v>76</v>
      </c>
      <c r="G112" s="1" t="s">
        <v>23</v>
      </c>
      <c r="H112" s="1" t="s">
        <v>19</v>
      </c>
      <c r="I112" s="1" t="s">
        <v>103</v>
      </c>
      <c r="J112" s="1" t="s">
        <v>104</v>
      </c>
      <c r="K112" s="1" t="str">
        <f>VLOOKUP(J112,'IU Major Match'!$D$2:$E$65,2,FALSE)</f>
        <v xml:space="preserve">Major exists in IU </v>
      </c>
      <c r="L112" s="1">
        <v>96181627526</v>
      </c>
      <c r="M112" s="1" t="s">
        <v>79</v>
      </c>
      <c r="N112" s="11">
        <v>100</v>
      </c>
      <c r="O112" s="11">
        <v>61</v>
      </c>
      <c r="P112" s="11">
        <v>9</v>
      </c>
      <c r="Q112" s="11">
        <v>30</v>
      </c>
      <c r="R112" s="5">
        <f t="shared" si="4"/>
        <v>0.7</v>
      </c>
      <c r="S112" s="13" t="str">
        <f t="shared" si="5"/>
        <v>&gt;50</v>
      </c>
      <c r="T112" s="14">
        <f t="shared" si="6"/>
        <v>2</v>
      </c>
      <c r="U112" s="14">
        <f t="shared" si="7"/>
        <v>1</v>
      </c>
    </row>
    <row r="113" spans="1:21" x14ac:dyDescent="0.25">
      <c r="A113" s="1">
        <v>62230310</v>
      </c>
      <c r="B113" s="1">
        <v>191081</v>
      </c>
      <c r="C113" s="1" t="s">
        <v>145</v>
      </c>
      <c r="D113" s="1" t="s">
        <v>382</v>
      </c>
      <c r="E113" s="1" t="s">
        <v>383</v>
      </c>
      <c r="F113" s="1" t="s">
        <v>76</v>
      </c>
      <c r="G113" s="1" t="s">
        <v>93</v>
      </c>
      <c r="H113" s="1" t="s">
        <v>19</v>
      </c>
      <c r="I113" s="1" t="s">
        <v>107</v>
      </c>
      <c r="J113" s="1" t="s">
        <v>108</v>
      </c>
      <c r="K113" s="1" t="str">
        <f>VLOOKUP(J113,'IU Major Match'!$D$2:$E$65,2,FALSE)</f>
        <v xml:space="preserve">Major exists in IU </v>
      </c>
      <c r="L113" s="1">
        <v>96181600762</v>
      </c>
      <c r="M113" s="1" t="s">
        <v>153</v>
      </c>
      <c r="N113" s="11">
        <v>99</v>
      </c>
      <c r="O113" s="11">
        <v>78</v>
      </c>
      <c r="P113" s="11">
        <v>12</v>
      </c>
      <c r="Q113" s="11">
        <v>9</v>
      </c>
      <c r="R113" s="5">
        <f t="shared" si="4"/>
        <v>0.90909090909090906</v>
      </c>
      <c r="S113" s="13" t="str">
        <f t="shared" si="5"/>
        <v>&gt;50</v>
      </c>
      <c r="T113" s="14">
        <f t="shared" si="6"/>
        <v>1</v>
      </c>
      <c r="U113" s="14">
        <f t="shared" si="7"/>
        <v>0.5</v>
      </c>
    </row>
    <row r="114" spans="1:21" x14ac:dyDescent="0.25">
      <c r="A114" s="1">
        <v>62330190</v>
      </c>
      <c r="B114" s="1">
        <v>201933</v>
      </c>
      <c r="C114" s="1" t="s">
        <v>145</v>
      </c>
      <c r="D114" s="1" t="s">
        <v>367</v>
      </c>
      <c r="E114" s="1" t="s">
        <v>384</v>
      </c>
      <c r="F114" s="1" t="s">
        <v>76</v>
      </c>
      <c r="G114" s="1" t="s">
        <v>18</v>
      </c>
      <c r="H114" s="1" t="s">
        <v>19</v>
      </c>
      <c r="I114" s="1" t="s">
        <v>82</v>
      </c>
      <c r="J114" s="1" t="s">
        <v>83</v>
      </c>
      <c r="K114" s="1" t="str">
        <f>VLOOKUP(J114,'IU Major Match'!$D$2:$E$65,2,FALSE)</f>
        <v>Can be Transferred to Bachelor of Engineering</v>
      </c>
      <c r="L114" s="1">
        <v>96176724224</v>
      </c>
      <c r="M114" s="1" t="s">
        <v>90</v>
      </c>
      <c r="N114" s="11">
        <v>108</v>
      </c>
      <c r="O114" s="11">
        <v>27</v>
      </c>
      <c r="P114" s="11">
        <v>16</v>
      </c>
      <c r="Q114" s="11">
        <v>65</v>
      </c>
      <c r="R114" s="5">
        <f t="shared" si="4"/>
        <v>0.39814814814814814</v>
      </c>
      <c r="S114" s="13" t="str">
        <f t="shared" si="5"/>
        <v>=&lt;50</v>
      </c>
      <c r="T114" s="14">
        <f t="shared" si="6"/>
        <v>5</v>
      </c>
      <c r="U114" s="14">
        <f t="shared" si="7"/>
        <v>2.5</v>
      </c>
    </row>
    <row r="115" spans="1:21" x14ac:dyDescent="0.25">
      <c r="A115" s="1">
        <v>62330028</v>
      </c>
      <c r="B115" s="1">
        <v>198775</v>
      </c>
      <c r="C115" s="1" t="s">
        <v>145</v>
      </c>
      <c r="D115" s="1" t="s">
        <v>145</v>
      </c>
      <c r="E115" s="1" t="s">
        <v>385</v>
      </c>
      <c r="F115" s="1" t="s">
        <v>76</v>
      </c>
      <c r="G115" s="1" t="s">
        <v>23</v>
      </c>
      <c r="H115" s="1" t="s">
        <v>19</v>
      </c>
      <c r="I115" s="1" t="s">
        <v>103</v>
      </c>
      <c r="J115" s="1" t="s">
        <v>104</v>
      </c>
      <c r="K115" s="1" t="str">
        <f>VLOOKUP(J115,'IU Major Match'!$D$2:$E$65,2,FALSE)</f>
        <v xml:space="preserve">Major exists in IU </v>
      </c>
      <c r="L115" s="1">
        <v>96170958119</v>
      </c>
      <c r="M115" s="1" t="s">
        <v>90</v>
      </c>
      <c r="N115" s="11">
        <v>100</v>
      </c>
      <c r="O115" s="11">
        <v>87</v>
      </c>
      <c r="P115" s="11">
        <v>13</v>
      </c>
      <c r="Q115" s="11">
        <v>0</v>
      </c>
      <c r="R115" s="5">
        <f t="shared" si="4"/>
        <v>1</v>
      </c>
      <c r="S115" s="13" t="str">
        <f t="shared" si="5"/>
        <v>&gt;50</v>
      </c>
      <c r="T115" s="14">
        <f t="shared" si="6"/>
        <v>0</v>
      </c>
      <c r="U115" s="14">
        <f t="shared" si="7"/>
        <v>0</v>
      </c>
    </row>
    <row r="116" spans="1:21" x14ac:dyDescent="0.25">
      <c r="A116" s="1">
        <v>62530063</v>
      </c>
      <c r="B116" s="1">
        <v>220303</v>
      </c>
      <c r="C116" s="1" t="s">
        <v>145</v>
      </c>
      <c r="D116" s="1" t="s">
        <v>376</v>
      </c>
      <c r="E116" s="1" t="s">
        <v>31</v>
      </c>
      <c r="F116" s="1" t="s">
        <v>76</v>
      </c>
      <c r="G116" s="1" t="s">
        <v>93</v>
      </c>
      <c r="H116" s="1" t="s">
        <v>19</v>
      </c>
      <c r="I116" s="1" t="s">
        <v>184</v>
      </c>
      <c r="J116" s="1" t="s">
        <v>185</v>
      </c>
      <c r="K116" s="1" t="str">
        <f>VLOOKUP(J116,'IU Major Match'!$D$2:$E$65,2,FALSE)</f>
        <v>Major Dont exists in IU</v>
      </c>
      <c r="L116" s="1">
        <v>3261742</v>
      </c>
      <c r="M116" s="1" t="s">
        <v>99</v>
      </c>
      <c r="N116" s="11">
        <v>99</v>
      </c>
      <c r="O116" s="11">
        <v>9</v>
      </c>
      <c r="P116" s="11">
        <v>15</v>
      </c>
      <c r="Q116" s="11">
        <v>75</v>
      </c>
      <c r="R116" s="5">
        <f t="shared" si="4"/>
        <v>0.24242424242424243</v>
      </c>
      <c r="S116" s="13" t="str">
        <f t="shared" si="5"/>
        <v>=&lt;50</v>
      </c>
      <c r="T116" s="14">
        <f t="shared" si="6"/>
        <v>5</v>
      </c>
      <c r="U116" s="14">
        <f t="shared" si="7"/>
        <v>2.5</v>
      </c>
    </row>
    <row r="117" spans="1:21" x14ac:dyDescent="0.25">
      <c r="A117" s="1">
        <v>62210098</v>
      </c>
      <c r="B117" s="1">
        <v>184096</v>
      </c>
      <c r="C117" s="1" t="s">
        <v>145</v>
      </c>
      <c r="D117" s="1" t="s">
        <v>119</v>
      </c>
      <c r="E117" s="1" t="s">
        <v>386</v>
      </c>
      <c r="F117" s="1" t="s">
        <v>76</v>
      </c>
      <c r="G117" s="1" t="s">
        <v>93</v>
      </c>
      <c r="H117" s="1" t="s">
        <v>19</v>
      </c>
      <c r="I117" s="1" t="s">
        <v>111</v>
      </c>
      <c r="J117" s="1" t="s">
        <v>112</v>
      </c>
      <c r="K117" s="1" t="str">
        <f>VLOOKUP(J117,'IU Major Match'!$D$2:$E$65,2,FALSE)</f>
        <v xml:space="preserve">Major exists in IU </v>
      </c>
      <c r="L117" s="1">
        <v>71817528</v>
      </c>
      <c r="M117" s="1" t="s">
        <v>387</v>
      </c>
      <c r="N117" s="11">
        <v>99</v>
      </c>
      <c r="O117" s="11">
        <v>69</v>
      </c>
      <c r="P117" s="11">
        <v>15</v>
      </c>
      <c r="Q117" s="11">
        <v>15</v>
      </c>
      <c r="R117" s="5">
        <f t="shared" si="4"/>
        <v>0.84848484848484851</v>
      </c>
      <c r="S117" s="13" t="str">
        <f t="shared" si="5"/>
        <v>&gt;50</v>
      </c>
      <c r="T117" s="14">
        <f t="shared" si="6"/>
        <v>1</v>
      </c>
      <c r="U117" s="14">
        <f t="shared" si="7"/>
        <v>0.5</v>
      </c>
    </row>
    <row r="118" spans="1:21" x14ac:dyDescent="0.25">
      <c r="A118" s="1">
        <v>62130291</v>
      </c>
      <c r="B118" s="1">
        <v>174857</v>
      </c>
      <c r="C118" s="1" t="s">
        <v>145</v>
      </c>
      <c r="D118" s="1" t="s">
        <v>388</v>
      </c>
      <c r="E118" s="1" t="s">
        <v>388</v>
      </c>
      <c r="F118" s="1" t="s">
        <v>76</v>
      </c>
      <c r="G118" s="1" t="s">
        <v>23</v>
      </c>
      <c r="H118" s="1" t="s">
        <v>19</v>
      </c>
      <c r="I118" s="1" t="s">
        <v>103</v>
      </c>
      <c r="J118" s="1" t="s">
        <v>104</v>
      </c>
      <c r="K118" s="1" t="str">
        <f>VLOOKUP(J118,'IU Major Match'!$D$2:$E$65,2,FALSE)</f>
        <v xml:space="preserve">Major exists in IU </v>
      </c>
      <c r="L118" s="1">
        <v>96176707662</v>
      </c>
      <c r="M118" s="1" t="s">
        <v>79</v>
      </c>
      <c r="N118" s="11">
        <v>100</v>
      </c>
      <c r="O118" s="11">
        <v>81</v>
      </c>
      <c r="P118" s="11">
        <v>16</v>
      </c>
      <c r="Q118" s="11">
        <v>3</v>
      </c>
      <c r="R118" s="5">
        <f t="shared" si="4"/>
        <v>0.97</v>
      </c>
      <c r="S118" s="13" t="str">
        <f t="shared" si="5"/>
        <v>&gt;50</v>
      </c>
      <c r="T118" s="14">
        <f t="shared" si="6"/>
        <v>1</v>
      </c>
      <c r="U118" s="14">
        <f t="shared" si="7"/>
        <v>0.5</v>
      </c>
    </row>
    <row r="119" spans="1:21" x14ac:dyDescent="0.25">
      <c r="A119" s="1">
        <v>62330255</v>
      </c>
      <c r="B119" s="1">
        <v>203630</v>
      </c>
      <c r="C119" s="1" t="s">
        <v>145</v>
      </c>
      <c r="D119" s="1" t="s">
        <v>389</v>
      </c>
      <c r="E119" s="1" t="s">
        <v>390</v>
      </c>
      <c r="F119" s="1" t="s">
        <v>76</v>
      </c>
      <c r="G119" s="1" t="s">
        <v>93</v>
      </c>
      <c r="H119" s="1" t="s">
        <v>19</v>
      </c>
      <c r="I119" s="1" t="s">
        <v>111</v>
      </c>
      <c r="J119" s="1" t="s">
        <v>112</v>
      </c>
      <c r="K119" s="1" t="str">
        <f>VLOOKUP(J119,'IU Major Match'!$D$2:$E$65,2,FALSE)</f>
        <v xml:space="preserve">Major exists in IU </v>
      </c>
      <c r="L119" s="1">
        <v>79170748</v>
      </c>
      <c r="M119" s="1" t="s">
        <v>90</v>
      </c>
      <c r="N119" s="11">
        <v>99</v>
      </c>
      <c r="O119" s="11">
        <v>15</v>
      </c>
      <c r="P119" s="11">
        <v>12</v>
      </c>
      <c r="Q119" s="11">
        <v>72</v>
      </c>
      <c r="R119" s="5">
        <f t="shared" si="4"/>
        <v>0.27272727272727271</v>
      </c>
      <c r="S119" s="13" t="str">
        <f t="shared" si="5"/>
        <v>=&lt;50</v>
      </c>
      <c r="T119" s="14">
        <f t="shared" si="6"/>
        <v>5</v>
      </c>
      <c r="U119" s="14">
        <f t="shared" si="7"/>
        <v>2.5</v>
      </c>
    </row>
    <row r="120" spans="1:21" x14ac:dyDescent="0.25">
      <c r="A120" s="1">
        <v>62530120</v>
      </c>
      <c r="B120" s="1">
        <v>221110</v>
      </c>
      <c r="C120" s="1" t="s">
        <v>145</v>
      </c>
      <c r="D120" s="1" t="s">
        <v>261</v>
      </c>
      <c r="E120" s="1" t="s">
        <v>390</v>
      </c>
      <c r="F120" s="1" t="s">
        <v>76</v>
      </c>
      <c r="G120" s="1" t="s">
        <v>93</v>
      </c>
      <c r="H120" s="1" t="s">
        <v>19</v>
      </c>
      <c r="I120" s="1" t="s">
        <v>349</v>
      </c>
      <c r="J120" s="1" t="s">
        <v>350</v>
      </c>
      <c r="K120" s="1" t="str">
        <f>VLOOKUP(J120,'IU Major Match'!$D$2:$E$65,2,FALSE)</f>
        <v xml:space="preserve">Major exists in IU </v>
      </c>
      <c r="L120" s="1">
        <v>81435223</v>
      </c>
      <c r="M120" s="1" t="s">
        <v>99</v>
      </c>
      <c r="N120" s="11">
        <v>99</v>
      </c>
      <c r="O120" s="11">
        <v>6</v>
      </c>
      <c r="P120" s="11">
        <v>15</v>
      </c>
      <c r="Q120" s="11">
        <v>78</v>
      </c>
      <c r="R120" s="5">
        <f t="shared" si="4"/>
        <v>0.21212121212121213</v>
      </c>
      <c r="S120" s="13" t="str">
        <f t="shared" si="5"/>
        <v>=&lt;50</v>
      </c>
      <c r="T120" s="14">
        <f t="shared" si="6"/>
        <v>6</v>
      </c>
      <c r="U120" s="14">
        <f t="shared" si="7"/>
        <v>3</v>
      </c>
    </row>
    <row r="121" spans="1:21" x14ac:dyDescent="0.25">
      <c r="A121" s="1">
        <v>62510058</v>
      </c>
      <c r="B121" s="1">
        <v>218605</v>
      </c>
      <c r="C121" s="1" t="s">
        <v>145</v>
      </c>
      <c r="D121" s="1" t="s">
        <v>391</v>
      </c>
      <c r="E121" s="1" t="s">
        <v>392</v>
      </c>
      <c r="F121" s="1" t="s">
        <v>76</v>
      </c>
      <c r="G121" s="1" t="s">
        <v>93</v>
      </c>
      <c r="H121" s="1" t="s">
        <v>19</v>
      </c>
      <c r="I121" s="1" t="s">
        <v>216</v>
      </c>
      <c r="J121" s="1" t="s">
        <v>217</v>
      </c>
      <c r="K121" s="1" t="str">
        <f>VLOOKUP(J121,'IU Major Match'!$D$2:$E$65,2,FALSE)</f>
        <v xml:space="preserve">Major exists in IU </v>
      </c>
      <c r="L121" s="1">
        <v>96178922197</v>
      </c>
      <c r="M121" s="1" t="s">
        <v>242</v>
      </c>
      <c r="N121" s="11">
        <v>99</v>
      </c>
      <c r="O121" s="11">
        <v>9</v>
      </c>
      <c r="P121" s="11">
        <v>13</v>
      </c>
      <c r="Q121" s="11">
        <v>81</v>
      </c>
      <c r="R121" s="5">
        <f t="shared" si="4"/>
        <v>0.22222222222222221</v>
      </c>
      <c r="S121" s="13" t="str">
        <f t="shared" si="5"/>
        <v>=&lt;50</v>
      </c>
      <c r="T121" s="14">
        <f t="shared" si="6"/>
        <v>6</v>
      </c>
      <c r="U121" s="14">
        <f t="shared" si="7"/>
        <v>3</v>
      </c>
    </row>
    <row r="122" spans="1:21" x14ac:dyDescent="0.25">
      <c r="A122" s="1">
        <v>62130495</v>
      </c>
      <c r="B122" s="1">
        <v>180749</v>
      </c>
      <c r="C122" s="1" t="s">
        <v>145</v>
      </c>
      <c r="D122" s="1" t="s">
        <v>374</v>
      </c>
      <c r="E122" s="1" t="s">
        <v>393</v>
      </c>
      <c r="F122" s="1" t="s">
        <v>76</v>
      </c>
      <c r="G122" s="1" t="s">
        <v>93</v>
      </c>
      <c r="H122" s="1" t="s">
        <v>19</v>
      </c>
      <c r="I122" s="1" t="s">
        <v>345</v>
      </c>
      <c r="J122" s="1" t="s">
        <v>346</v>
      </c>
      <c r="K122" s="1" t="str">
        <f>VLOOKUP(J122,'IU Major Match'!$D$2:$E$65,2,FALSE)</f>
        <v xml:space="preserve">Major exists in IU </v>
      </c>
      <c r="L122" s="1">
        <v>70495435</v>
      </c>
      <c r="M122" s="1" t="s">
        <v>79</v>
      </c>
      <c r="N122" s="11">
        <v>99</v>
      </c>
      <c r="O122" s="11">
        <v>78</v>
      </c>
      <c r="P122" s="11">
        <v>15</v>
      </c>
      <c r="Q122" s="11">
        <v>6</v>
      </c>
      <c r="R122" s="5">
        <f t="shared" si="4"/>
        <v>0.93939393939393945</v>
      </c>
      <c r="S122" s="13" t="str">
        <f t="shared" si="5"/>
        <v>&gt;50</v>
      </c>
      <c r="T122" s="14">
        <f t="shared" si="6"/>
        <v>1</v>
      </c>
      <c r="U122" s="14">
        <f t="shared" si="7"/>
        <v>0.5</v>
      </c>
    </row>
    <row r="123" spans="1:21" x14ac:dyDescent="0.25">
      <c r="A123" s="1">
        <v>62530107</v>
      </c>
      <c r="B123" s="1">
        <v>220474</v>
      </c>
      <c r="C123" s="1" t="s">
        <v>394</v>
      </c>
      <c r="D123" s="1" t="s">
        <v>378</v>
      </c>
      <c r="E123" s="1" t="s">
        <v>379</v>
      </c>
      <c r="F123" s="1" t="s">
        <v>76</v>
      </c>
      <c r="G123" s="1" t="s">
        <v>23</v>
      </c>
      <c r="H123" s="1" t="s">
        <v>19</v>
      </c>
      <c r="I123" s="1" t="s">
        <v>277</v>
      </c>
      <c r="J123" s="1" t="s">
        <v>278</v>
      </c>
      <c r="K123" s="1" t="str">
        <f>VLOOKUP(J123,'IU Major Match'!$D$2:$E$65,2,FALSE)</f>
        <v>Major Dont exists in IU</v>
      </c>
      <c r="L123" s="1">
        <v>96181649629</v>
      </c>
      <c r="M123" s="1" t="s">
        <v>99</v>
      </c>
      <c r="N123" s="11">
        <v>99</v>
      </c>
      <c r="O123" s="11">
        <v>9</v>
      </c>
      <c r="P123" s="11">
        <v>17</v>
      </c>
      <c r="Q123" s="11">
        <v>73</v>
      </c>
      <c r="R123" s="5">
        <f t="shared" si="4"/>
        <v>0.26262626262626265</v>
      </c>
      <c r="S123" s="13" t="str">
        <f t="shared" si="5"/>
        <v>=&lt;50</v>
      </c>
      <c r="T123" s="14">
        <f t="shared" si="6"/>
        <v>5</v>
      </c>
      <c r="U123" s="14">
        <f t="shared" si="7"/>
        <v>2.5</v>
      </c>
    </row>
    <row r="124" spans="1:21" x14ac:dyDescent="0.25">
      <c r="A124" s="1">
        <v>62330153</v>
      </c>
      <c r="B124" s="1">
        <v>200561</v>
      </c>
      <c r="C124" s="1" t="s">
        <v>394</v>
      </c>
      <c r="D124" s="1" t="s">
        <v>72</v>
      </c>
      <c r="E124" s="1" t="s">
        <v>263</v>
      </c>
      <c r="F124" s="1" t="s">
        <v>76</v>
      </c>
      <c r="G124" s="1" t="s">
        <v>23</v>
      </c>
      <c r="H124" s="1" t="s">
        <v>19</v>
      </c>
      <c r="I124" s="1" t="s">
        <v>151</v>
      </c>
      <c r="J124" s="1" t="s">
        <v>152</v>
      </c>
      <c r="K124" s="1" t="str">
        <f>VLOOKUP(J124,'IU Major Match'!$D$2:$E$65,2,FALSE)</f>
        <v>Major Dont exists in IU</v>
      </c>
      <c r="L124" s="1">
        <v>81234624</v>
      </c>
      <c r="M124" s="1" t="s">
        <v>90</v>
      </c>
      <c r="N124" s="11">
        <v>105</v>
      </c>
      <c r="O124" s="11">
        <v>46</v>
      </c>
      <c r="P124" s="11">
        <v>10</v>
      </c>
      <c r="Q124" s="11">
        <v>49</v>
      </c>
      <c r="R124" s="5">
        <f t="shared" si="4"/>
        <v>0.53333333333333333</v>
      </c>
      <c r="S124" s="13" t="str">
        <f t="shared" si="5"/>
        <v>&gt;50</v>
      </c>
      <c r="T124" s="14">
        <f t="shared" si="6"/>
        <v>4</v>
      </c>
      <c r="U124" s="14">
        <f t="shared" si="7"/>
        <v>2</v>
      </c>
    </row>
    <row r="125" spans="1:21" x14ac:dyDescent="0.25">
      <c r="A125" s="1">
        <v>62430052</v>
      </c>
      <c r="B125" s="1">
        <v>209730</v>
      </c>
      <c r="C125" s="1" t="s">
        <v>395</v>
      </c>
      <c r="D125" s="1" t="s">
        <v>119</v>
      </c>
      <c r="E125" s="1" t="s">
        <v>396</v>
      </c>
      <c r="F125" s="1" t="s">
        <v>76</v>
      </c>
      <c r="G125" s="1" t="s">
        <v>23</v>
      </c>
      <c r="H125" s="1" t="s">
        <v>19</v>
      </c>
      <c r="I125" s="1" t="s">
        <v>397</v>
      </c>
      <c r="J125" s="1" t="s">
        <v>398</v>
      </c>
      <c r="K125" s="1" t="str">
        <f>VLOOKUP(J125,'IU Major Match'!$D$2:$E$65,2,FALSE)</f>
        <v xml:space="preserve">Major exists in IU </v>
      </c>
      <c r="L125" s="1">
        <v>71772412</v>
      </c>
      <c r="M125" s="1" t="s">
        <v>113</v>
      </c>
      <c r="N125" s="11">
        <v>99</v>
      </c>
      <c r="O125" s="11">
        <v>19</v>
      </c>
      <c r="P125" s="11">
        <v>16</v>
      </c>
      <c r="Q125" s="11">
        <v>65</v>
      </c>
      <c r="R125" s="5">
        <f t="shared" si="4"/>
        <v>0.35353535353535354</v>
      </c>
      <c r="S125" s="13" t="str">
        <f t="shared" si="5"/>
        <v>=&lt;50</v>
      </c>
      <c r="T125" s="14">
        <f t="shared" si="6"/>
        <v>5</v>
      </c>
      <c r="U125" s="14">
        <f t="shared" si="7"/>
        <v>2.5</v>
      </c>
    </row>
    <row r="126" spans="1:21" x14ac:dyDescent="0.25">
      <c r="A126" s="1">
        <v>62530048</v>
      </c>
      <c r="B126" s="1">
        <v>219810</v>
      </c>
      <c r="C126" s="1" t="s">
        <v>395</v>
      </c>
      <c r="D126" s="1" t="s">
        <v>145</v>
      </c>
      <c r="E126" s="1" t="s">
        <v>399</v>
      </c>
      <c r="F126" s="1" t="s">
        <v>76</v>
      </c>
      <c r="G126" s="1" t="s">
        <v>93</v>
      </c>
      <c r="H126" s="1" t="s">
        <v>19</v>
      </c>
      <c r="I126" s="1" t="s">
        <v>349</v>
      </c>
      <c r="J126" s="1" t="s">
        <v>350</v>
      </c>
      <c r="K126" s="1" t="str">
        <f>VLOOKUP(J126,'IU Major Match'!$D$2:$E$65,2,FALSE)</f>
        <v xml:space="preserve">Major exists in IU </v>
      </c>
      <c r="L126" s="1">
        <v>96181975785</v>
      </c>
      <c r="M126" s="1" t="s">
        <v>99</v>
      </c>
      <c r="N126" s="11">
        <v>99</v>
      </c>
      <c r="O126" s="11">
        <v>15</v>
      </c>
      <c r="P126" s="11">
        <v>15</v>
      </c>
      <c r="Q126" s="11">
        <v>69</v>
      </c>
      <c r="R126" s="5">
        <f t="shared" si="4"/>
        <v>0.30303030303030304</v>
      </c>
      <c r="S126" s="13" t="str">
        <f t="shared" si="5"/>
        <v>=&lt;50</v>
      </c>
      <c r="T126" s="14">
        <f t="shared" si="6"/>
        <v>5</v>
      </c>
      <c r="U126" s="14">
        <f t="shared" si="7"/>
        <v>2.5</v>
      </c>
    </row>
    <row r="127" spans="1:21" x14ac:dyDescent="0.25">
      <c r="A127" s="1">
        <v>62330271</v>
      </c>
      <c r="B127" s="1">
        <v>203694</v>
      </c>
      <c r="C127" s="1" t="s">
        <v>400</v>
      </c>
      <c r="D127" s="1" t="s">
        <v>119</v>
      </c>
      <c r="E127" s="1" t="s">
        <v>401</v>
      </c>
      <c r="F127" s="1" t="s">
        <v>76</v>
      </c>
      <c r="G127" s="1" t="s">
        <v>93</v>
      </c>
      <c r="H127" s="1" t="s">
        <v>19</v>
      </c>
      <c r="I127" s="1" t="s">
        <v>94</v>
      </c>
      <c r="J127" s="1" t="s">
        <v>95</v>
      </c>
      <c r="K127" s="1" t="str">
        <f>VLOOKUP(J127,'IU Major Match'!$D$2:$E$65,2,FALSE)</f>
        <v xml:space="preserve">Major exists in IU </v>
      </c>
      <c r="L127" s="1">
        <v>96170776618</v>
      </c>
      <c r="M127" s="1" t="s">
        <v>90</v>
      </c>
      <c r="N127" s="11">
        <v>99</v>
      </c>
      <c r="O127" s="11">
        <v>66</v>
      </c>
      <c r="P127" s="11">
        <v>12</v>
      </c>
      <c r="Q127" s="11">
        <v>21</v>
      </c>
      <c r="R127" s="5">
        <f t="shared" si="4"/>
        <v>0.78787878787878785</v>
      </c>
      <c r="S127" s="13" t="str">
        <f t="shared" si="5"/>
        <v>&gt;50</v>
      </c>
      <c r="T127" s="14">
        <f t="shared" si="6"/>
        <v>2</v>
      </c>
      <c r="U127" s="14">
        <f t="shared" si="7"/>
        <v>1</v>
      </c>
    </row>
    <row r="128" spans="1:21" x14ac:dyDescent="0.25">
      <c r="A128" s="1">
        <v>62410014</v>
      </c>
      <c r="B128" s="1">
        <v>207966</v>
      </c>
      <c r="C128" s="1" t="s">
        <v>402</v>
      </c>
      <c r="D128" s="1" t="s">
        <v>199</v>
      </c>
      <c r="E128" s="1" t="s">
        <v>255</v>
      </c>
      <c r="F128" s="1" t="s">
        <v>76</v>
      </c>
      <c r="G128" s="1" t="s">
        <v>93</v>
      </c>
      <c r="H128" s="1" t="s">
        <v>19</v>
      </c>
      <c r="I128" s="1" t="s">
        <v>94</v>
      </c>
      <c r="J128" s="1" t="s">
        <v>95</v>
      </c>
      <c r="K128" s="1" t="str">
        <f>VLOOKUP(J128,'IU Major Match'!$D$2:$E$65,2,FALSE)</f>
        <v xml:space="preserve">Major exists in IU </v>
      </c>
      <c r="L128" s="1">
        <v>81264865</v>
      </c>
      <c r="M128" s="1" t="s">
        <v>362</v>
      </c>
      <c r="N128" s="11">
        <v>99</v>
      </c>
      <c r="O128" s="11">
        <v>45</v>
      </c>
      <c r="P128" s="11">
        <v>12</v>
      </c>
      <c r="Q128" s="11">
        <v>42</v>
      </c>
      <c r="R128" s="5">
        <f t="shared" si="4"/>
        <v>0.5757575757575758</v>
      </c>
      <c r="S128" s="13" t="str">
        <f t="shared" si="5"/>
        <v>&gt;50</v>
      </c>
      <c r="T128" s="14">
        <f t="shared" si="6"/>
        <v>3</v>
      </c>
      <c r="U128" s="14">
        <f t="shared" si="7"/>
        <v>1.5</v>
      </c>
    </row>
    <row r="129" spans="1:21" x14ac:dyDescent="0.25">
      <c r="A129" s="1">
        <v>62530069</v>
      </c>
      <c r="B129" s="1">
        <v>220537</v>
      </c>
      <c r="C129" s="1" t="s">
        <v>403</v>
      </c>
      <c r="D129" s="1" t="s">
        <v>268</v>
      </c>
      <c r="E129" s="1" t="s">
        <v>404</v>
      </c>
      <c r="F129" s="1" t="s">
        <v>76</v>
      </c>
      <c r="G129" s="1" t="s">
        <v>18</v>
      </c>
      <c r="H129" s="1" t="s">
        <v>19</v>
      </c>
      <c r="I129" s="1" t="s">
        <v>82</v>
      </c>
      <c r="J129" s="1" t="s">
        <v>83</v>
      </c>
      <c r="K129" s="1" t="str">
        <f>VLOOKUP(J129,'IU Major Match'!$D$2:$E$65,2,FALSE)</f>
        <v>Can be Transferred to Bachelor of Engineering</v>
      </c>
      <c r="L129" s="1">
        <v>70184033</v>
      </c>
      <c r="M129" s="1" t="s">
        <v>99</v>
      </c>
      <c r="N129" s="11">
        <v>108</v>
      </c>
      <c r="O129" s="11">
        <v>3</v>
      </c>
      <c r="P129" s="11">
        <v>12</v>
      </c>
      <c r="Q129" s="11">
        <v>93</v>
      </c>
      <c r="R129" s="5">
        <f t="shared" si="4"/>
        <v>0.1388888888888889</v>
      </c>
      <c r="S129" s="13" t="str">
        <f t="shared" si="5"/>
        <v>=&lt;50</v>
      </c>
      <c r="T129" s="14">
        <f t="shared" si="6"/>
        <v>7</v>
      </c>
      <c r="U129" s="14">
        <f t="shared" si="7"/>
        <v>3.5</v>
      </c>
    </row>
    <row r="130" spans="1:21" x14ac:dyDescent="0.25">
      <c r="A130" s="1">
        <v>62410058</v>
      </c>
      <c r="B130" s="1">
        <v>208921</v>
      </c>
      <c r="C130" s="1" t="s">
        <v>405</v>
      </c>
      <c r="D130" s="1" t="s">
        <v>298</v>
      </c>
      <c r="E130" s="1" t="s">
        <v>406</v>
      </c>
      <c r="F130" s="1" t="s">
        <v>76</v>
      </c>
      <c r="G130" s="1" t="s">
        <v>93</v>
      </c>
      <c r="H130" s="1" t="s">
        <v>19</v>
      </c>
      <c r="I130" s="1" t="s">
        <v>94</v>
      </c>
      <c r="J130" s="1" t="s">
        <v>95</v>
      </c>
      <c r="K130" s="1" t="str">
        <f>VLOOKUP(J130,'IU Major Match'!$D$2:$E$65,2,FALSE)</f>
        <v xml:space="preserve">Major exists in IU </v>
      </c>
      <c r="L130" s="1">
        <v>96176896078</v>
      </c>
      <c r="M130" s="1" t="s">
        <v>362</v>
      </c>
      <c r="N130" s="11">
        <v>99</v>
      </c>
      <c r="O130" s="11">
        <v>54</v>
      </c>
      <c r="P130" s="11">
        <v>15</v>
      </c>
      <c r="Q130" s="11">
        <v>30</v>
      </c>
      <c r="R130" s="5">
        <f t="shared" si="4"/>
        <v>0.69696969696969702</v>
      </c>
      <c r="S130" s="13" t="str">
        <f t="shared" si="5"/>
        <v>&gt;50</v>
      </c>
      <c r="T130" s="14">
        <f t="shared" si="6"/>
        <v>2</v>
      </c>
      <c r="U130" s="14">
        <f t="shared" si="7"/>
        <v>1</v>
      </c>
    </row>
    <row r="131" spans="1:21" x14ac:dyDescent="0.25">
      <c r="A131" s="1">
        <v>62530142</v>
      </c>
      <c r="B131" s="1">
        <v>222160</v>
      </c>
      <c r="C131" s="1" t="s">
        <v>405</v>
      </c>
      <c r="D131" s="1" t="s">
        <v>407</v>
      </c>
      <c r="E131" s="1" t="s">
        <v>408</v>
      </c>
      <c r="F131" s="1" t="s">
        <v>76</v>
      </c>
      <c r="G131" s="1" t="s">
        <v>93</v>
      </c>
      <c r="H131" s="1" t="s">
        <v>19</v>
      </c>
      <c r="I131" s="1" t="s">
        <v>184</v>
      </c>
      <c r="J131" s="1" t="s">
        <v>185</v>
      </c>
      <c r="K131" s="1" t="str">
        <f>VLOOKUP(J131,'IU Major Match'!$D$2:$E$65,2,FALSE)</f>
        <v>Major Dont exists in IU</v>
      </c>
      <c r="L131" s="1">
        <v>96170504377</v>
      </c>
      <c r="M131" s="1" t="s">
        <v>99</v>
      </c>
      <c r="N131" s="11">
        <v>99</v>
      </c>
      <c r="O131" s="11">
        <v>0</v>
      </c>
      <c r="P131" s="11">
        <v>13</v>
      </c>
      <c r="Q131" s="11">
        <v>94</v>
      </c>
      <c r="R131" s="5">
        <f t="shared" ref="R131:R194" si="8">(O131+P131)/N131</f>
        <v>0.13131313131313133</v>
      </c>
      <c r="S131" s="13" t="str">
        <f t="shared" ref="S131:S194" si="9">IF(R131&lt;=50%,"=&lt;50","&gt;50")</f>
        <v>=&lt;50</v>
      </c>
      <c r="T131" s="14">
        <f t="shared" ref="T131:T194" si="10">ROUNDUP(Q131/15,0)</f>
        <v>7</v>
      </c>
      <c r="U131" s="14">
        <f t="shared" ref="U131:U194" si="11">T131/2</f>
        <v>3.5</v>
      </c>
    </row>
    <row r="132" spans="1:21" x14ac:dyDescent="0.25">
      <c r="A132" s="1">
        <v>62230137</v>
      </c>
      <c r="B132" s="1">
        <v>186441</v>
      </c>
      <c r="C132" s="1" t="s">
        <v>409</v>
      </c>
      <c r="D132" s="1" t="s">
        <v>367</v>
      </c>
      <c r="E132" s="1" t="s">
        <v>410</v>
      </c>
      <c r="F132" s="1" t="s">
        <v>76</v>
      </c>
      <c r="G132" s="1" t="s">
        <v>18</v>
      </c>
      <c r="H132" s="1" t="s">
        <v>19</v>
      </c>
      <c r="I132" s="1" t="s">
        <v>82</v>
      </c>
      <c r="J132" s="1" t="s">
        <v>83</v>
      </c>
      <c r="K132" s="1" t="str">
        <f>VLOOKUP(J132,'IU Major Match'!$D$2:$E$65,2,FALSE)</f>
        <v>Can be Transferred to Bachelor of Engineering</v>
      </c>
      <c r="L132" s="1">
        <v>81188102</v>
      </c>
      <c r="M132" s="1" t="s">
        <v>153</v>
      </c>
      <c r="N132" s="11">
        <v>108</v>
      </c>
      <c r="O132" s="11">
        <v>88</v>
      </c>
      <c r="P132" s="11">
        <v>17</v>
      </c>
      <c r="Q132" s="11">
        <v>3</v>
      </c>
      <c r="R132" s="5">
        <f t="shared" si="8"/>
        <v>0.97222222222222221</v>
      </c>
      <c r="S132" s="13" t="str">
        <f t="shared" si="9"/>
        <v>&gt;50</v>
      </c>
      <c r="T132" s="14">
        <f t="shared" si="10"/>
        <v>1</v>
      </c>
      <c r="U132" s="14">
        <f t="shared" si="11"/>
        <v>0.5</v>
      </c>
    </row>
    <row r="133" spans="1:21" x14ac:dyDescent="0.25">
      <c r="A133" s="1">
        <v>62330289</v>
      </c>
      <c r="B133" s="1">
        <v>204156</v>
      </c>
      <c r="C133" s="1" t="s">
        <v>411</v>
      </c>
      <c r="D133" s="1" t="s">
        <v>412</v>
      </c>
      <c r="E133" s="1" t="s">
        <v>413</v>
      </c>
      <c r="F133" s="1" t="s">
        <v>76</v>
      </c>
      <c r="G133" s="1" t="s">
        <v>18</v>
      </c>
      <c r="H133" s="1" t="s">
        <v>19</v>
      </c>
      <c r="I133" s="1" t="s">
        <v>82</v>
      </c>
      <c r="J133" s="1" t="s">
        <v>83</v>
      </c>
      <c r="K133" s="1" t="str">
        <f>VLOOKUP(J133,'IU Major Match'!$D$2:$E$65,2,FALSE)</f>
        <v>Can be Transferred to Bachelor of Engineering</v>
      </c>
      <c r="L133" s="1">
        <v>76389678</v>
      </c>
      <c r="M133" s="1" t="s">
        <v>90</v>
      </c>
      <c r="N133" s="11">
        <v>108</v>
      </c>
      <c r="O133" s="11">
        <v>18</v>
      </c>
      <c r="P133" s="11">
        <v>10</v>
      </c>
      <c r="Q133" s="11">
        <v>80</v>
      </c>
      <c r="R133" s="5">
        <f t="shared" si="8"/>
        <v>0.25925925925925924</v>
      </c>
      <c r="S133" s="13" t="str">
        <f t="shared" si="9"/>
        <v>=&lt;50</v>
      </c>
      <c r="T133" s="14">
        <f t="shared" si="10"/>
        <v>6</v>
      </c>
      <c r="U133" s="14">
        <f t="shared" si="11"/>
        <v>3</v>
      </c>
    </row>
    <row r="134" spans="1:21" x14ac:dyDescent="0.25">
      <c r="A134" s="1">
        <v>62230381</v>
      </c>
      <c r="B134" s="1">
        <v>193153</v>
      </c>
      <c r="C134" s="1" t="s">
        <v>414</v>
      </c>
      <c r="D134" s="1" t="s">
        <v>176</v>
      </c>
      <c r="E134" s="1" t="s">
        <v>415</v>
      </c>
      <c r="F134" s="1" t="s">
        <v>76</v>
      </c>
      <c r="G134" s="1" t="s">
        <v>93</v>
      </c>
      <c r="H134" s="1" t="s">
        <v>19</v>
      </c>
      <c r="I134" s="1" t="s">
        <v>168</v>
      </c>
      <c r="J134" s="1" t="s">
        <v>169</v>
      </c>
      <c r="K134" s="1" t="str">
        <f>VLOOKUP(J134,'IU Major Match'!$D$2:$E$65,2,FALSE)</f>
        <v>Major Dont exists in IU</v>
      </c>
      <c r="L134" s="1">
        <v>96176749057</v>
      </c>
      <c r="M134" s="1" t="s">
        <v>153</v>
      </c>
      <c r="N134" s="11">
        <v>99</v>
      </c>
      <c r="O134" s="11">
        <v>78</v>
      </c>
      <c r="P134" s="11">
        <v>21</v>
      </c>
      <c r="Q134" s="11">
        <v>0</v>
      </c>
      <c r="R134" s="5">
        <f t="shared" si="8"/>
        <v>1</v>
      </c>
      <c r="S134" s="13" t="str">
        <f t="shared" si="9"/>
        <v>&gt;50</v>
      </c>
      <c r="T134" s="14">
        <f t="shared" si="10"/>
        <v>0</v>
      </c>
      <c r="U134" s="14">
        <f t="shared" si="11"/>
        <v>0</v>
      </c>
    </row>
    <row r="135" spans="1:21" x14ac:dyDescent="0.25">
      <c r="A135" s="1">
        <v>62530178</v>
      </c>
      <c r="B135" s="1">
        <v>223897</v>
      </c>
      <c r="C135" s="1" t="s">
        <v>414</v>
      </c>
      <c r="D135" s="1" t="s">
        <v>416</v>
      </c>
      <c r="E135" s="1" t="s">
        <v>417</v>
      </c>
      <c r="F135" s="1" t="s">
        <v>76</v>
      </c>
      <c r="G135" s="1" t="s">
        <v>23</v>
      </c>
      <c r="H135" s="1" t="s">
        <v>19</v>
      </c>
      <c r="I135" s="1" t="s">
        <v>142</v>
      </c>
      <c r="J135" s="1" t="s">
        <v>143</v>
      </c>
      <c r="K135" s="1" t="str">
        <f>VLOOKUP(J135,'IU Major Match'!$D$2:$E$65,2,FALSE)</f>
        <v xml:space="preserve">Major exists in IU </v>
      </c>
      <c r="L135" s="1">
        <v>70544694</v>
      </c>
      <c r="M135" s="1" t="s">
        <v>99</v>
      </c>
      <c r="N135" s="11">
        <v>99</v>
      </c>
      <c r="O135" s="11">
        <v>0</v>
      </c>
      <c r="P135" s="11">
        <v>15</v>
      </c>
      <c r="Q135" s="11">
        <v>84</v>
      </c>
      <c r="R135" s="5">
        <f t="shared" si="8"/>
        <v>0.15151515151515152</v>
      </c>
      <c r="S135" s="13" t="str">
        <f t="shared" si="9"/>
        <v>=&lt;50</v>
      </c>
      <c r="T135" s="14">
        <f t="shared" si="10"/>
        <v>6</v>
      </c>
      <c r="U135" s="14">
        <f t="shared" si="11"/>
        <v>3</v>
      </c>
    </row>
    <row r="136" spans="1:21" x14ac:dyDescent="0.25">
      <c r="A136" s="1">
        <v>62430237</v>
      </c>
      <c r="B136" s="1">
        <v>214078</v>
      </c>
      <c r="C136" s="1" t="s">
        <v>414</v>
      </c>
      <c r="D136" s="1" t="s">
        <v>418</v>
      </c>
      <c r="E136" s="1" t="s">
        <v>419</v>
      </c>
      <c r="F136" s="1" t="s">
        <v>76</v>
      </c>
      <c r="G136" s="1" t="s">
        <v>23</v>
      </c>
      <c r="H136" s="1" t="s">
        <v>19</v>
      </c>
      <c r="I136" s="1" t="s">
        <v>159</v>
      </c>
      <c r="J136" s="1" t="s">
        <v>160</v>
      </c>
      <c r="K136" s="1" t="str">
        <f>VLOOKUP(J136,'IU Major Match'!$D$2:$E$65,2,FALSE)</f>
        <v xml:space="preserve">Major exists in IU </v>
      </c>
      <c r="L136" s="1">
        <v>96181838541</v>
      </c>
      <c r="M136" s="1" t="s">
        <v>113</v>
      </c>
      <c r="N136" s="11">
        <v>99</v>
      </c>
      <c r="O136" s="11">
        <v>34</v>
      </c>
      <c r="P136" s="11">
        <v>19</v>
      </c>
      <c r="Q136" s="11">
        <v>46</v>
      </c>
      <c r="R136" s="5">
        <f t="shared" si="8"/>
        <v>0.53535353535353536</v>
      </c>
      <c r="S136" s="13" t="str">
        <f t="shared" si="9"/>
        <v>&gt;50</v>
      </c>
      <c r="T136" s="14">
        <f t="shared" si="10"/>
        <v>4</v>
      </c>
      <c r="U136" s="14">
        <f t="shared" si="11"/>
        <v>2</v>
      </c>
    </row>
    <row r="137" spans="1:21" x14ac:dyDescent="0.25">
      <c r="A137" s="1">
        <v>62310024</v>
      </c>
      <c r="B137" s="1">
        <v>197170</v>
      </c>
      <c r="C137" s="1" t="s">
        <v>420</v>
      </c>
      <c r="D137" s="1" t="s">
        <v>421</v>
      </c>
      <c r="E137" s="1" t="s">
        <v>390</v>
      </c>
      <c r="F137" s="1" t="s">
        <v>76</v>
      </c>
      <c r="G137" s="1" t="s">
        <v>23</v>
      </c>
      <c r="H137" s="1" t="s">
        <v>19</v>
      </c>
      <c r="I137" s="1" t="s">
        <v>88</v>
      </c>
      <c r="J137" s="1" t="s">
        <v>89</v>
      </c>
      <c r="K137" s="1" t="str">
        <f>VLOOKUP(J137,'IU Major Match'!$D$2:$E$65,2,FALSE)</f>
        <v xml:space="preserve">Major exists in IU </v>
      </c>
      <c r="L137" s="1">
        <v>96176648667</v>
      </c>
      <c r="M137" s="1" t="s">
        <v>178</v>
      </c>
      <c r="N137" s="11">
        <v>99</v>
      </c>
      <c r="O137" s="11">
        <v>42</v>
      </c>
      <c r="P137" s="11">
        <v>6</v>
      </c>
      <c r="Q137" s="11">
        <v>51</v>
      </c>
      <c r="R137" s="5">
        <f t="shared" si="8"/>
        <v>0.48484848484848486</v>
      </c>
      <c r="S137" s="13" t="str">
        <f t="shared" si="9"/>
        <v>=&lt;50</v>
      </c>
      <c r="T137" s="14">
        <f t="shared" si="10"/>
        <v>4</v>
      </c>
      <c r="U137" s="14">
        <f t="shared" si="11"/>
        <v>2</v>
      </c>
    </row>
    <row r="138" spans="1:21" x14ac:dyDescent="0.25">
      <c r="A138" s="1">
        <v>62320002</v>
      </c>
      <c r="B138" s="1">
        <v>198498</v>
      </c>
      <c r="C138" s="1" t="s">
        <v>420</v>
      </c>
      <c r="D138" s="1" t="s">
        <v>268</v>
      </c>
      <c r="E138" s="1" t="s">
        <v>422</v>
      </c>
      <c r="F138" s="1" t="s">
        <v>76</v>
      </c>
      <c r="G138" s="1" t="s">
        <v>93</v>
      </c>
      <c r="H138" s="1" t="s">
        <v>19</v>
      </c>
      <c r="I138" s="1" t="s">
        <v>107</v>
      </c>
      <c r="J138" s="1" t="s">
        <v>108</v>
      </c>
      <c r="K138" s="1" t="str">
        <f>VLOOKUP(J138,'IU Major Match'!$D$2:$E$65,2,FALSE)</f>
        <v xml:space="preserve">Major exists in IU </v>
      </c>
      <c r="L138" s="1">
        <v>70402701</v>
      </c>
      <c r="M138" s="1" t="s">
        <v>423</v>
      </c>
      <c r="N138" s="11">
        <v>99</v>
      </c>
      <c r="O138" s="11">
        <v>60</v>
      </c>
      <c r="P138" s="11">
        <v>12</v>
      </c>
      <c r="Q138" s="11">
        <v>27</v>
      </c>
      <c r="R138" s="5">
        <f t="shared" si="8"/>
        <v>0.72727272727272729</v>
      </c>
      <c r="S138" s="13" t="str">
        <f t="shared" si="9"/>
        <v>&gt;50</v>
      </c>
      <c r="T138" s="14">
        <f t="shared" si="10"/>
        <v>2</v>
      </c>
      <c r="U138" s="14">
        <f t="shared" si="11"/>
        <v>1</v>
      </c>
    </row>
    <row r="139" spans="1:21" x14ac:dyDescent="0.25">
      <c r="A139" s="1">
        <v>62430072</v>
      </c>
      <c r="B139" s="1">
        <v>209715</v>
      </c>
      <c r="C139" s="1" t="s">
        <v>424</v>
      </c>
      <c r="D139" s="1" t="s">
        <v>425</v>
      </c>
      <c r="E139" s="1" t="s">
        <v>426</v>
      </c>
      <c r="F139" s="1" t="s">
        <v>76</v>
      </c>
      <c r="G139" s="1" t="s">
        <v>23</v>
      </c>
      <c r="H139" s="1" t="s">
        <v>19</v>
      </c>
      <c r="I139" s="1" t="s">
        <v>103</v>
      </c>
      <c r="J139" s="1" t="s">
        <v>104</v>
      </c>
      <c r="K139" s="1" t="str">
        <f>VLOOKUP(J139,'IU Major Match'!$D$2:$E$65,2,FALSE)</f>
        <v xml:space="preserve">Major exists in IU </v>
      </c>
      <c r="L139" s="1">
        <v>9613773115</v>
      </c>
      <c r="M139" s="1" t="s">
        <v>113</v>
      </c>
      <c r="N139" s="11">
        <v>100</v>
      </c>
      <c r="O139" s="11">
        <v>12</v>
      </c>
      <c r="P139" s="11">
        <v>10</v>
      </c>
      <c r="Q139" s="11">
        <v>78</v>
      </c>
      <c r="R139" s="5">
        <f t="shared" si="8"/>
        <v>0.22</v>
      </c>
      <c r="S139" s="13" t="str">
        <f t="shared" si="9"/>
        <v>=&lt;50</v>
      </c>
      <c r="T139" s="14">
        <f t="shared" si="10"/>
        <v>6</v>
      </c>
      <c r="U139" s="14">
        <f t="shared" si="11"/>
        <v>3</v>
      </c>
    </row>
    <row r="140" spans="1:21" x14ac:dyDescent="0.25">
      <c r="A140" s="1">
        <v>62530027</v>
      </c>
      <c r="B140" s="1">
        <v>219155</v>
      </c>
      <c r="C140" s="1" t="s">
        <v>427</v>
      </c>
      <c r="D140" s="1" t="s">
        <v>256</v>
      </c>
      <c r="E140" s="1" t="s">
        <v>428</v>
      </c>
      <c r="F140" s="1" t="s">
        <v>76</v>
      </c>
      <c r="G140" s="1" t="s">
        <v>93</v>
      </c>
      <c r="H140" s="1" t="s">
        <v>19</v>
      </c>
      <c r="I140" s="1" t="s">
        <v>216</v>
      </c>
      <c r="J140" s="1" t="s">
        <v>217</v>
      </c>
      <c r="K140" s="1" t="str">
        <f>VLOOKUP(J140,'IU Major Match'!$D$2:$E$65,2,FALSE)</f>
        <v xml:space="preserve">Major exists in IU </v>
      </c>
      <c r="L140" s="1">
        <v>81562586</v>
      </c>
      <c r="M140" s="1" t="s">
        <v>99</v>
      </c>
      <c r="N140" s="11">
        <v>99</v>
      </c>
      <c r="O140" s="11">
        <v>3</v>
      </c>
      <c r="P140" s="11">
        <v>18</v>
      </c>
      <c r="Q140" s="11">
        <v>78</v>
      </c>
      <c r="R140" s="5">
        <f t="shared" si="8"/>
        <v>0.21212121212121213</v>
      </c>
      <c r="S140" s="13" t="str">
        <f t="shared" si="9"/>
        <v>=&lt;50</v>
      </c>
      <c r="T140" s="14">
        <f t="shared" si="10"/>
        <v>6</v>
      </c>
      <c r="U140" s="14">
        <f t="shared" si="11"/>
        <v>3</v>
      </c>
    </row>
    <row r="141" spans="1:21" x14ac:dyDescent="0.25">
      <c r="A141" s="1">
        <v>62430127</v>
      </c>
      <c r="B141" s="1">
        <v>210604</v>
      </c>
      <c r="C141" s="1" t="s">
        <v>429</v>
      </c>
      <c r="D141" s="1" t="s">
        <v>129</v>
      </c>
      <c r="E141" s="1" t="s">
        <v>430</v>
      </c>
      <c r="F141" s="1" t="s">
        <v>76</v>
      </c>
      <c r="G141" s="1" t="s">
        <v>23</v>
      </c>
      <c r="H141" s="1" t="s">
        <v>19</v>
      </c>
      <c r="I141" s="1" t="s">
        <v>103</v>
      </c>
      <c r="J141" s="1" t="s">
        <v>104</v>
      </c>
      <c r="K141" s="1" t="str">
        <f>VLOOKUP(J141,'IU Major Match'!$D$2:$E$65,2,FALSE)</f>
        <v xml:space="preserve">Major exists in IU </v>
      </c>
      <c r="L141" s="1">
        <v>76320128</v>
      </c>
      <c r="M141" s="1" t="s">
        <v>113</v>
      </c>
      <c r="N141" s="11">
        <v>100</v>
      </c>
      <c r="O141" s="11">
        <v>12</v>
      </c>
      <c r="P141" s="11">
        <v>12</v>
      </c>
      <c r="Q141" s="11">
        <v>76</v>
      </c>
      <c r="R141" s="5">
        <f t="shared" si="8"/>
        <v>0.24</v>
      </c>
      <c r="S141" s="13" t="str">
        <f t="shared" si="9"/>
        <v>=&lt;50</v>
      </c>
      <c r="T141" s="14">
        <f t="shared" si="10"/>
        <v>6</v>
      </c>
      <c r="U141" s="14">
        <f t="shared" si="11"/>
        <v>3</v>
      </c>
    </row>
    <row r="142" spans="1:21" x14ac:dyDescent="0.25">
      <c r="A142" s="1">
        <v>62130358</v>
      </c>
      <c r="B142" s="1">
        <v>176436</v>
      </c>
      <c r="C142" s="1" t="s">
        <v>429</v>
      </c>
      <c r="D142" s="1" t="s">
        <v>431</v>
      </c>
      <c r="E142" s="1" t="s">
        <v>432</v>
      </c>
      <c r="F142" s="1" t="s">
        <v>76</v>
      </c>
      <c r="G142" s="1" t="s">
        <v>93</v>
      </c>
      <c r="H142" s="1" t="s">
        <v>19</v>
      </c>
      <c r="I142" s="1" t="s">
        <v>168</v>
      </c>
      <c r="J142" s="1" t="s">
        <v>169</v>
      </c>
      <c r="K142" s="1" t="str">
        <f>VLOOKUP(J142,'IU Major Match'!$D$2:$E$65,2,FALSE)</f>
        <v>Major Dont exists in IU</v>
      </c>
      <c r="L142" s="1">
        <v>79118246</v>
      </c>
      <c r="M142" s="1" t="s">
        <v>79</v>
      </c>
      <c r="N142" s="11">
        <v>99</v>
      </c>
      <c r="O142" s="11">
        <v>66</v>
      </c>
      <c r="P142" s="11">
        <v>12</v>
      </c>
      <c r="Q142" s="11">
        <v>21</v>
      </c>
      <c r="R142" s="5">
        <f t="shared" si="8"/>
        <v>0.78787878787878785</v>
      </c>
      <c r="S142" s="13" t="str">
        <f t="shared" si="9"/>
        <v>&gt;50</v>
      </c>
      <c r="T142" s="14">
        <f t="shared" si="10"/>
        <v>2</v>
      </c>
      <c r="U142" s="14">
        <f t="shared" si="11"/>
        <v>1</v>
      </c>
    </row>
    <row r="143" spans="1:21" x14ac:dyDescent="0.25">
      <c r="A143" s="1">
        <v>62230326</v>
      </c>
      <c r="B143" s="1">
        <v>191030</v>
      </c>
      <c r="C143" s="1" t="s">
        <v>433</v>
      </c>
      <c r="D143" s="1" t="s">
        <v>119</v>
      </c>
      <c r="E143" s="1" t="s">
        <v>434</v>
      </c>
      <c r="F143" s="1" t="s">
        <v>76</v>
      </c>
      <c r="G143" s="1" t="s">
        <v>23</v>
      </c>
      <c r="H143" s="1" t="s">
        <v>19</v>
      </c>
      <c r="I143" s="1" t="s">
        <v>88</v>
      </c>
      <c r="J143" s="1" t="s">
        <v>89</v>
      </c>
      <c r="K143" s="1" t="str">
        <f>VLOOKUP(J143,'IU Major Match'!$D$2:$E$65,2,FALSE)</f>
        <v xml:space="preserve">Major exists in IU </v>
      </c>
      <c r="L143" s="1">
        <v>76506039</v>
      </c>
      <c r="M143" s="1" t="s">
        <v>153</v>
      </c>
      <c r="N143" s="11">
        <v>99</v>
      </c>
      <c r="O143" s="11">
        <v>72</v>
      </c>
      <c r="P143" s="11">
        <v>6</v>
      </c>
      <c r="Q143" s="11">
        <v>21</v>
      </c>
      <c r="R143" s="5">
        <f t="shared" si="8"/>
        <v>0.78787878787878785</v>
      </c>
      <c r="S143" s="13" t="str">
        <f t="shared" si="9"/>
        <v>&gt;50</v>
      </c>
      <c r="T143" s="14">
        <f t="shared" si="10"/>
        <v>2</v>
      </c>
      <c r="U143" s="14">
        <f t="shared" si="11"/>
        <v>1</v>
      </c>
    </row>
    <row r="144" spans="1:21" x14ac:dyDescent="0.25">
      <c r="A144" s="1">
        <v>62530053</v>
      </c>
      <c r="B144" s="1">
        <v>219373</v>
      </c>
      <c r="C144" s="1" t="s">
        <v>433</v>
      </c>
      <c r="D144" s="1" t="s">
        <v>199</v>
      </c>
      <c r="E144" s="1" t="s">
        <v>399</v>
      </c>
      <c r="F144" s="1" t="s">
        <v>76</v>
      </c>
      <c r="G144" s="1" t="s">
        <v>23</v>
      </c>
      <c r="H144" s="1" t="s">
        <v>19</v>
      </c>
      <c r="I144" s="1" t="s">
        <v>142</v>
      </c>
      <c r="J144" s="1" t="s">
        <v>143</v>
      </c>
      <c r="K144" s="1" t="str">
        <f>VLOOKUP(J144,'IU Major Match'!$D$2:$E$65,2,FALSE)</f>
        <v xml:space="preserve">Major exists in IU </v>
      </c>
      <c r="L144" s="1">
        <v>70395930</v>
      </c>
      <c r="M144" s="1" t="s">
        <v>99</v>
      </c>
      <c r="N144" s="11">
        <v>99</v>
      </c>
      <c r="O144" s="11">
        <v>6</v>
      </c>
      <c r="P144" s="11">
        <v>10</v>
      </c>
      <c r="Q144" s="11">
        <v>91</v>
      </c>
      <c r="R144" s="5">
        <f t="shared" si="8"/>
        <v>0.16161616161616163</v>
      </c>
      <c r="S144" s="13" t="str">
        <f t="shared" si="9"/>
        <v>=&lt;50</v>
      </c>
      <c r="T144" s="14">
        <f t="shared" si="10"/>
        <v>7</v>
      </c>
      <c r="U144" s="14">
        <f t="shared" si="11"/>
        <v>3.5</v>
      </c>
    </row>
    <row r="145" spans="1:21" x14ac:dyDescent="0.25">
      <c r="A145" s="1">
        <v>62530268</v>
      </c>
      <c r="B145" s="1">
        <v>226181</v>
      </c>
      <c r="C145" s="1" t="s">
        <v>435</v>
      </c>
      <c r="D145" s="1" t="s">
        <v>265</v>
      </c>
      <c r="E145" s="1" t="s">
        <v>191</v>
      </c>
      <c r="F145" s="1" t="s">
        <v>76</v>
      </c>
      <c r="G145" s="1" t="s">
        <v>18</v>
      </c>
      <c r="H145" s="1" t="s">
        <v>19</v>
      </c>
      <c r="I145" s="1" t="s">
        <v>164</v>
      </c>
      <c r="J145" s="1" t="s">
        <v>165</v>
      </c>
      <c r="K145" s="1" t="str">
        <f>VLOOKUP(J145,'IU Major Match'!$D$2:$E$65,2,FALSE)</f>
        <v>Can be Transferred to Bachelor of Engineering</v>
      </c>
      <c r="L145" s="1">
        <v>81194540</v>
      </c>
      <c r="M145" s="1" t="s">
        <v>99</v>
      </c>
      <c r="N145" s="11">
        <v>108</v>
      </c>
      <c r="O145" s="11">
        <v>18</v>
      </c>
      <c r="P145" s="11">
        <v>15</v>
      </c>
      <c r="Q145" s="11">
        <v>75</v>
      </c>
      <c r="R145" s="5">
        <f t="shared" si="8"/>
        <v>0.30555555555555558</v>
      </c>
      <c r="S145" s="13" t="str">
        <f t="shared" si="9"/>
        <v>=&lt;50</v>
      </c>
      <c r="T145" s="14">
        <f t="shared" si="10"/>
        <v>5</v>
      </c>
      <c r="U145" s="14">
        <f t="shared" si="11"/>
        <v>2.5</v>
      </c>
    </row>
    <row r="146" spans="1:21" x14ac:dyDescent="0.25">
      <c r="A146" s="1">
        <v>62330125</v>
      </c>
      <c r="B146" s="1">
        <v>199868</v>
      </c>
      <c r="C146" s="1" t="s">
        <v>435</v>
      </c>
      <c r="D146" s="1" t="s">
        <v>256</v>
      </c>
      <c r="E146" s="1" t="s">
        <v>436</v>
      </c>
      <c r="F146" s="1" t="s">
        <v>76</v>
      </c>
      <c r="G146" s="1" t="s">
        <v>23</v>
      </c>
      <c r="H146" s="1" t="s">
        <v>19</v>
      </c>
      <c r="I146" s="1" t="s">
        <v>103</v>
      </c>
      <c r="J146" s="1" t="s">
        <v>104</v>
      </c>
      <c r="K146" s="1" t="str">
        <f>VLOOKUP(J146,'IU Major Match'!$D$2:$E$65,2,FALSE)</f>
        <v xml:space="preserve">Major exists in IU </v>
      </c>
      <c r="L146" s="1">
        <v>76309591</v>
      </c>
      <c r="M146" s="1" t="s">
        <v>90</v>
      </c>
      <c r="N146" s="11">
        <v>100</v>
      </c>
      <c r="O146" s="11">
        <v>43</v>
      </c>
      <c r="P146" s="11">
        <v>15</v>
      </c>
      <c r="Q146" s="11">
        <v>42</v>
      </c>
      <c r="R146" s="5">
        <f t="shared" si="8"/>
        <v>0.57999999999999996</v>
      </c>
      <c r="S146" s="13" t="str">
        <f t="shared" si="9"/>
        <v>&gt;50</v>
      </c>
      <c r="T146" s="14">
        <f t="shared" si="10"/>
        <v>3</v>
      </c>
      <c r="U146" s="14">
        <f t="shared" si="11"/>
        <v>1.5</v>
      </c>
    </row>
    <row r="147" spans="1:21" x14ac:dyDescent="0.25">
      <c r="A147" s="1">
        <v>62230313</v>
      </c>
      <c r="B147" s="1">
        <v>191025</v>
      </c>
      <c r="C147" s="1" t="s">
        <v>435</v>
      </c>
      <c r="D147" s="1" t="s">
        <v>129</v>
      </c>
      <c r="E147" s="1" t="s">
        <v>437</v>
      </c>
      <c r="F147" s="1" t="s">
        <v>76</v>
      </c>
      <c r="G147" s="1" t="s">
        <v>23</v>
      </c>
      <c r="H147" s="1" t="s">
        <v>19</v>
      </c>
      <c r="I147" s="1" t="s">
        <v>438</v>
      </c>
      <c r="J147" s="1" t="s">
        <v>439</v>
      </c>
      <c r="K147" s="1" t="str">
        <f>VLOOKUP(J147,'IU Major Match'!$D$2:$E$65,2,FALSE)</f>
        <v xml:space="preserve">Major exists in IU </v>
      </c>
      <c r="L147" s="1">
        <v>96171554272</v>
      </c>
      <c r="M147" s="1" t="s">
        <v>153</v>
      </c>
      <c r="N147" s="11">
        <v>108</v>
      </c>
      <c r="O147" s="11">
        <v>42</v>
      </c>
      <c r="P147" s="11">
        <v>9</v>
      </c>
      <c r="Q147" s="11">
        <v>57</v>
      </c>
      <c r="R147" s="5">
        <f t="shared" si="8"/>
        <v>0.47222222222222221</v>
      </c>
      <c r="S147" s="13" t="str">
        <f t="shared" si="9"/>
        <v>=&lt;50</v>
      </c>
      <c r="T147" s="14">
        <f t="shared" si="10"/>
        <v>4</v>
      </c>
      <c r="U147" s="14">
        <f t="shared" si="11"/>
        <v>2</v>
      </c>
    </row>
    <row r="148" spans="1:21" x14ac:dyDescent="0.25">
      <c r="A148" s="1">
        <v>62330049</v>
      </c>
      <c r="B148" s="1">
        <v>198747</v>
      </c>
      <c r="C148" s="1" t="s">
        <v>435</v>
      </c>
      <c r="D148" s="1" t="s">
        <v>119</v>
      </c>
      <c r="E148" s="1" t="s">
        <v>399</v>
      </c>
      <c r="F148" s="1" t="s">
        <v>76</v>
      </c>
      <c r="G148" s="1" t="s">
        <v>23</v>
      </c>
      <c r="H148" s="1" t="s">
        <v>19</v>
      </c>
      <c r="I148" s="1" t="s">
        <v>88</v>
      </c>
      <c r="J148" s="1" t="s">
        <v>89</v>
      </c>
      <c r="K148" s="1" t="str">
        <f>VLOOKUP(J148,'IU Major Match'!$D$2:$E$65,2,FALSE)</f>
        <v xml:space="preserve">Major exists in IU </v>
      </c>
      <c r="L148" s="1">
        <v>81347488</v>
      </c>
      <c r="M148" s="1" t="s">
        <v>90</v>
      </c>
      <c r="N148" s="11">
        <v>99</v>
      </c>
      <c r="O148" s="11">
        <v>69</v>
      </c>
      <c r="P148" s="11">
        <v>9</v>
      </c>
      <c r="Q148" s="11">
        <v>21</v>
      </c>
      <c r="R148" s="5">
        <f t="shared" si="8"/>
        <v>0.78787878787878785</v>
      </c>
      <c r="S148" s="13" t="str">
        <f t="shared" si="9"/>
        <v>&gt;50</v>
      </c>
      <c r="T148" s="14">
        <f t="shared" si="10"/>
        <v>2</v>
      </c>
      <c r="U148" s="14">
        <f t="shared" si="11"/>
        <v>1</v>
      </c>
    </row>
    <row r="149" spans="1:21" x14ac:dyDescent="0.25">
      <c r="A149" s="1">
        <v>62330006</v>
      </c>
      <c r="B149" s="1">
        <v>198773</v>
      </c>
      <c r="C149" s="1" t="s">
        <v>440</v>
      </c>
      <c r="D149" s="1" t="s">
        <v>441</v>
      </c>
      <c r="E149" s="1" t="s">
        <v>288</v>
      </c>
      <c r="F149" s="1" t="s">
        <v>76</v>
      </c>
      <c r="G149" s="1" t="s">
        <v>93</v>
      </c>
      <c r="H149" s="1" t="s">
        <v>19</v>
      </c>
      <c r="I149" s="1" t="s">
        <v>107</v>
      </c>
      <c r="J149" s="1" t="s">
        <v>108</v>
      </c>
      <c r="K149" s="1" t="str">
        <f>VLOOKUP(J149,'IU Major Match'!$D$2:$E$65,2,FALSE)</f>
        <v xml:space="preserve">Major exists in IU </v>
      </c>
      <c r="L149" s="1">
        <v>96176679977</v>
      </c>
      <c r="M149" s="1" t="s">
        <v>90</v>
      </c>
      <c r="N149" s="11">
        <v>99</v>
      </c>
      <c r="O149" s="11">
        <v>54</v>
      </c>
      <c r="P149" s="11">
        <v>18</v>
      </c>
      <c r="Q149" s="11">
        <v>27</v>
      </c>
      <c r="R149" s="5">
        <f t="shared" si="8"/>
        <v>0.72727272727272729</v>
      </c>
      <c r="S149" s="13" t="str">
        <f t="shared" si="9"/>
        <v>&gt;50</v>
      </c>
      <c r="T149" s="14">
        <f t="shared" si="10"/>
        <v>2</v>
      </c>
      <c r="U149" s="14">
        <f t="shared" si="11"/>
        <v>1</v>
      </c>
    </row>
    <row r="150" spans="1:21" x14ac:dyDescent="0.25">
      <c r="A150" s="1">
        <v>62330023</v>
      </c>
      <c r="B150" s="1">
        <v>198779</v>
      </c>
      <c r="C150" s="1" t="s">
        <v>442</v>
      </c>
      <c r="D150" s="1" t="s">
        <v>443</v>
      </c>
      <c r="E150" s="1" t="s">
        <v>444</v>
      </c>
      <c r="F150" s="1" t="s">
        <v>76</v>
      </c>
      <c r="G150" s="1" t="s">
        <v>18</v>
      </c>
      <c r="H150" s="1" t="s">
        <v>19</v>
      </c>
      <c r="I150" s="1" t="s">
        <v>82</v>
      </c>
      <c r="J150" s="1" t="s">
        <v>83</v>
      </c>
      <c r="K150" s="1" t="str">
        <f>VLOOKUP(J150,'IU Major Match'!$D$2:$E$65,2,FALSE)</f>
        <v>Can be Transferred to Bachelor of Engineering</v>
      </c>
      <c r="L150" s="1">
        <v>81394962</v>
      </c>
      <c r="M150" s="1" t="s">
        <v>90</v>
      </c>
      <c r="N150" s="11">
        <v>108</v>
      </c>
      <c r="O150" s="11">
        <v>82</v>
      </c>
      <c r="P150" s="11">
        <v>17</v>
      </c>
      <c r="Q150" s="11">
        <v>9</v>
      </c>
      <c r="R150" s="5">
        <f t="shared" si="8"/>
        <v>0.91666666666666663</v>
      </c>
      <c r="S150" s="13" t="str">
        <f t="shared" si="9"/>
        <v>&gt;50</v>
      </c>
      <c r="T150" s="14">
        <f t="shared" si="10"/>
        <v>1</v>
      </c>
      <c r="U150" s="14">
        <f t="shared" si="11"/>
        <v>0.5</v>
      </c>
    </row>
    <row r="151" spans="1:21" x14ac:dyDescent="0.25">
      <c r="A151" s="1">
        <v>62330116</v>
      </c>
      <c r="B151" s="1">
        <v>201962</v>
      </c>
      <c r="C151" s="1" t="s">
        <v>442</v>
      </c>
      <c r="D151" s="1" t="s">
        <v>355</v>
      </c>
      <c r="E151" s="1" t="s">
        <v>445</v>
      </c>
      <c r="F151" s="1" t="s">
        <v>76</v>
      </c>
      <c r="G151" s="1" t="s">
        <v>23</v>
      </c>
      <c r="H151" s="1" t="s">
        <v>19</v>
      </c>
      <c r="I151" s="1" t="s">
        <v>226</v>
      </c>
      <c r="J151" s="1" t="s">
        <v>227</v>
      </c>
      <c r="K151" s="1" t="str">
        <f>VLOOKUP(J151,'IU Major Match'!$D$2:$E$65,2,FALSE)</f>
        <v>Major Dont exists in IU</v>
      </c>
      <c r="L151" s="1">
        <v>70455730</v>
      </c>
      <c r="M151" s="1" t="s">
        <v>90</v>
      </c>
      <c r="N151" s="11">
        <v>99</v>
      </c>
      <c r="O151" s="11">
        <v>38</v>
      </c>
      <c r="P151" s="11">
        <v>11</v>
      </c>
      <c r="Q151" s="11">
        <v>50</v>
      </c>
      <c r="R151" s="5">
        <f t="shared" si="8"/>
        <v>0.49494949494949497</v>
      </c>
      <c r="S151" s="13" t="str">
        <f t="shared" si="9"/>
        <v>=&lt;50</v>
      </c>
      <c r="T151" s="14">
        <f t="shared" si="10"/>
        <v>4</v>
      </c>
      <c r="U151" s="14">
        <f t="shared" si="11"/>
        <v>2</v>
      </c>
    </row>
    <row r="152" spans="1:21" x14ac:dyDescent="0.25">
      <c r="A152" s="1">
        <v>62430130</v>
      </c>
      <c r="B152" s="1">
        <v>213791</v>
      </c>
      <c r="C152" s="1" t="s">
        <v>446</v>
      </c>
      <c r="D152" s="1" t="s">
        <v>447</v>
      </c>
      <c r="E152" s="1" t="s">
        <v>286</v>
      </c>
      <c r="F152" s="1" t="s">
        <v>76</v>
      </c>
      <c r="G152" s="1" t="s">
        <v>200</v>
      </c>
      <c r="H152" s="1" t="s">
        <v>19</v>
      </c>
      <c r="I152" s="1" t="s">
        <v>201</v>
      </c>
      <c r="J152" s="1" t="s">
        <v>202</v>
      </c>
      <c r="K152" s="1" t="str">
        <f>VLOOKUP(J152,'IU Major Match'!$D$2:$E$65,2,FALSE)</f>
        <v>Major Dont exists in IU</v>
      </c>
      <c r="L152" s="1">
        <v>70448355</v>
      </c>
      <c r="M152" s="1" t="s">
        <v>113</v>
      </c>
      <c r="N152" s="11">
        <v>65</v>
      </c>
      <c r="O152" s="11">
        <v>35</v>
      </c>
      <c r="P152" s="11">
        <v>15</v>
      </c>
      <c r="Q152" s="11">
        <v>15</v>
      </c>
      <c r="R152" s="5">
        <f t="shared" si="8"/>
        <v>0.76923076923076927</v>
      </c>
      <c r="S152" s="13" t="str">
        <f t="shared" si="9"/>
        <v>&gt;50</v>
      </c>
      <c r="T152" s="14">
        <f t="shared" si="10"/>
        <v>1</v>
      </c>
      <c r="U152" s="14">
        <f t="shared" si="11"/>
        <v>0.5</v>
      </c>
    </row>
    <row r="153" spans="1:21" x14ac:dyDescent="0.25">
      <c r="A153" s="1">
        <v>62230406</v>
      </c>
      <c r="B153" s="1">
        <v>193845</v>
      </c>
      <c r="C153" s="1" t="s">
        <v>448</v>
      </c>
      <c r="D153" s="1" t="s">
        <v>367</v>
      </c>
      <c r="E153" s="1" t="s">
        <v>386</v>
      </c>
      <c r="F153" s="1" t="s">
        <v>76</v>
      </c>
      <c r="G153" s="1" t="s">
        <v>23</v>
      </c>
      <c r="H153" s="1" t="s">
        <v>19</v>
      </c>
      <c r="I153" s="1" t="s">
        <v>151</v>
      </c>
      <c r="J153" s="1" t="s">
        <v>152</v>
      </c>
      <c r="K153" s="1" t="str">
        <f>VLOOKUP(J153,'IU Major Match'!$D$2:$E$65,2,FALSE)</f>
        <v>Major Dont exists in IU</v>
      </c>
      <c r="L153" s="1">
        <v>71607765</v>
      </c>
      <c r="M153" s="1" t="s">
        <v>153</v>
      </c>
      <c r="N153" s="11">
        <v>105</v>
      </c>
      <c r="O153" s="11">
        <v>76</v>
      </c>
      <c r="P153" s="11">
        <v>11</v>
      </c>
      <c r="Q153" s="11">
        <v>18</v>
      </c>
      <c r="R153" s="5">
        <f t="shared" si="8"/>
        <v>0.82857142857142863</v>
      </c>
      <c r="S153" s="13" t="str">
        <f t="shared" si="9"/>
        <v>&gt;50</v>
      </c>
      <c r="T153" s="14">
        <f t="shared" si="10"/>
        <v>2</v>
      </c>
      <c r="U153" s="14">
        <f t="shared" si="11"/>
        <v>1</v>
      </c>
    </row>
    <row r="154" spans="1:21" x14ac:dyDescent="0.25">
      <c r="A154" s="1">
        <v>62230208</v>
      </c>
      <c r="B154" s="1">
        <v>188628</v>
      </c>
      <c r="C154" s="1" t="s">
        <v>449</v>
      </c>
      <c r="D154" s="1" t="s">
        <v>261</v>
      </c>
      <c r="E154" s="1" t="s">
        <v>273</v>
      </c>
      <c r="F154" s="1" t="s">
        <v>76</v>
      </c>
      <c r="G154" s="1" t="s">
        <v>23</v>
      </c>
      <c r="H154" s="1" t="s">
        <v>19</v>
      </c>
      <c r="I154" s="1" t="s">
        <v>116</v>
      </c>
      <c r="J154" s="1" t="s">
        <v>117</v>
      </c>
      <c r="K154" s="1" t="str">
        <f>VLOOKUP(J154,'IU Major Match'!$D$2:$E$65,2,FALSE)</f>
        <v>Major Dont exists in IU</v>
      </c>
      <c r="L154" s="1">
        <v>70538878</v>
      </c>
      <c r="M154" s="1" t="s">
        <v>153</v>
      </c>
      <c r="N154" s="11">
        <v>99</v>
      </c>
      <c r="O154" s="11">
        <v>36</v>
      </c>
      <c r="P154" s="11">
        <v>12</v>
      </c>
      <c r="Q154" s="11">
        <v>51</v>
      </c>
      <c r="R154" s="5">
        <f t="shared" si="8"/>
        <v>0.48484848484848486</v>
      </c>
      <c r="S154" s="13" t="str">
        <f t="shared" si="9"/>
        <v>=&lt;50</v>
      </c>
      <c r="T154" s="14">
        <f t="shared" si="10"/>
        <v>4</v>
      </c>
      <c r="U154" s="14">
        <f t="shared" si="11"/>
        <v>2</v>
      </c>
    </row>
    <row r="155" spans="1:21" x14ac:dyDescent="0.25">
      <c r="A155" s="1">
        <v>62130141</v>
      </c>
      <c r="B155" s="1">
        <v>168632</v>
      </c>
      <c r="C155" s="1" t="s">
        <v>449</v>
      </c>
      <c r="D155" s="1" t="s">
        <v>140</v>
      </c>
      <c r="E155" s="1" t="s">
        <v>450</v>
      </c>
      <c r="F155" s="1" t="s">
        <v>76</v>
      </c>
      <c r="G155" s="1" t="s">
        <v>93</v>
      </c>
      <c r="H155" s="1" t="s">
        <v>19</v>
      </c>
      <c r="I155" s="1" t="s">
        <v>107</v>
      </c>
      <c r="J155" s="1" t="s">
        <v>108</v>
      </c>
      <c r="K155" s="1" t="str">
        <f>VLOOKUP(J155,'IU Major Match'!$D$2:$E$65,2,FALSE)</f>
        <v xml:space="preserve">Major exists in IU </v>
      </c>
      <c r="L155" s="1">
        <v>79157303</v>
      </c>
      <c r="M155" s="1" t="s">
        <v>79</v>
      </c>
      <c r="N155" s="11">
        <v>99</v>
      </c>
      <c r="O155" s="11">
        <v>87</v>
      </c>
      <c r="P155" s="11">
        <v>12</v>
      </c>
      <c r="Q155" s="11">
        <v>0</v>
      </c>
      <c r="R155" s="5">
        <f t="shared" si="8"/>
        <v>1</v>
      </c>
      <c r="S155" s="13" t="str">
        <f t="shared" si="9"/>
        <v>&gt;50</v>
      </c>
      <c r="T155" s="14">
        <f t="shared" si="10"/>
        <v>0</v>
      </c>
      <c r="U155" s="14">
        <f t="shared" si="11"/>
        <v>0</v>
      </c>
    </row>
    <row r="156" spans="1:21" x14ac:dyDescent="0.25">
      <c r="A156" s="1">
        <v>62330021</v>
      </c>
      <c r="B156" s="1">
        <v>198752</v>
      </c>
      <c r="C156" s="1" t="s">
        <v>449</v>
      </c>
      <c r="D156" s="1" t="s">
        <v>451</v>
      </c>
      <c r="E156" s="1" t="s">
        <v>452</v>
      </c>
      <c r="F156" s="1" t="s">
        <v>76</v>
      </c>
      <c r="G156" s="1" t="s">
        <v>23</v>
      </c>
      <c r="H156" s="1" t="s">
        <v>19</v>
      </c>
      <c r="I156" s="1" t="s">
        <v>88</v>
      </c>
      <c r="J156" s="1" t="s">
        <v>89</v>
      </c>
      <c r="K156" s="1" t="str">
        <f>VLOOKUP(J156,'IU Major Match'!$D$2:$E$65,2,FALSE)</f>
        <v xml:space="preserve">Major exists in IU </v>
      </c>
      <c r="L156" s="1">
        <v>70253681</v>
      </c>
      <c r="M156" s="1" t="s">
        <v>90</v>
      </c>
      <c r="N156" s="11">
        <v>99</v>
      </c>
      <c r="O156" s="11">
        <v>64</v>
      </c>
      <c r="P156" s="11">
        <v>13</v>
      </c>
      <c r="Q156" s="11">
        <v>22</v>
      </c>
      <c r="R156" s="5">
        <f t="shared" si="8"/>
        <v>0.77777777777777779</v>
      </c>
      <c r="S156" s="13" t="str">
        <f t="shared" si="9"/>
        <v>&gt;50</v>
      </c>
      <c r="T156" s="14">
        <f t="shared" si="10"/>
        <v>2</v>
      </c>
      <c r="U156" s="14">
        <f t="shared" si="11"/>
        <v>1</v>
      </c>
    </row>
    <row r="157" spans="1:21" x14ac:dyDescent="0.25">
      <c r="A157" s="1">
        <v>62430086</v>
      </c>
      <c r="B157" s="1">
        <v>210051</v>
      </c>
      <c r="C157" s="1" t="s">
        <v>453</v>
      </c>
      <c r="D157" s="1" t="s">
        <v>119</v>
      </c>
      <c r="E157" s="1" t="s">
        <v>399</v>
      </c>
      <c r="F157" s="1" t="s">
        <v>76</v>
      </c>
      <c r="G157" s="1" t="s">
        <v>23</v>
      </c>
      <c r="H157" s="1" t="s">
        <v>19</v>
      </c>
      <c r="I157" s="1" t="s">
        <v>88</v>
      </c>
      <c r="J157" s="1" t="s">
        <v>89</v>
      </c>
      <c r="K157" s="1" t="str">
        <f>VLOOKUP(J157,'IU Major Match'!$D$2:$E$65,2,FALSE)</f>
        <v xml:space="preserve">Major exists in IU </v>
      </c>
      <c r="L157" s="1">
        <v>76441545</v>
      </c>
      <c r="M157" s="1" t="s">
        <v>113</v>
      </c>
      <c r="N157" s="11">
        <v>99</v>
      </c>
      <c r="O157" s="11">
        <v>37</v>
      </c>
      <c r="P157" s="11">
        <v>16</v>
      </c>
      <c r="Q157" s="11">
        <v>46</v>
      </c>
      <c r="R157" s="5">
        <f t="shared" si="8"/>
        <v>0.53535353535353536</v>
      </c>
      <c r="S157" s="13" t="str">
        <f t="shared" si="9"/>
        <v>&gt;50</v>
      </c>
      <c r="T157" s="14">
        <f t="shared" si="10"/>
        <v>4</v>
      </c>
      <c r="U157" s="14">
        <f t="shared" si="11"/>
        <v>2</v>
      </c>
    </row>
    <row r="158" spans="1:21" x14ac:dyDescent="0.25">
      <c r="A158" s="1">
        <v>62130203</v>
      </c>
      <c r="B158" s="1">
        <v>169398</v>
      </c>
      <c r="C158" s="1" t="s">
        <v>454</v>
      </c>
      <c r="D158" s="1" t="s">
        <v>455</v>
      </c>
      <c r="E158" s="1" t="s">
        <v>456</v>
      </c>
      <c r="F158" s="1" t="s">
        <v>76</v>
      </c>
      <c r="G158" s="1" t="s">
        <v>23</v>
      </c>
      <c r="H158" s="1" t="s">
        <v>19</v>
      </c>
      <c r="I158" s="1" t="s">
        <v>103</v>
      </c>
      <c r="J158" s="1" t="s">
        <v>104</v>
      </c>
      <c r="K158" s="1" t="str">
        <f>VLOOKUP(J158,'IU Major Match'!$D$2:$E$65,2,FALSE)</f>
        <v xml:space="preserve">Major exists in IU </v>
      </c>
      <c r="L158" s="1">
        <v>96176775992</v>
      </c>
      <c r="M158" s="1" t="s">
        <v>79</v>
      </c>
      <c r="N158" s="11">
        <v>100</v>
      </c>
      <c r="O158" s="11">
        <v>97</v>
      </c>
      <c r="P158" s="11">
        <v>3</v>
      </c>
      <c r="Q158" s="11">
        <v>0</v>
      </c>
      <c r="R158" s="5">
        <f t="shared" si="8"/>
        <v>1</v>
      </c>
      <c r="S158" s="13" t="str">
        <f t="shared" si="9"/>
        <v>&gt;50</v>
      </c>
      <c r="T158" s="14">
        <f t="shared" si="10"/>
        <v>0</v>
      </c>
      <c r="U158" s="14">
        <f t="shared" si="11"/>
        <v>0</v>
      </c>
    </row>
    <row r="159" spans="1:21" x14ac:dyDescent="0.25">
      <c r="A159" s="1">
        <v>62530160</v>
      </c>
      <c r="B159" s="1">
        <v>222185</v>
      </c>
      <c r="C159" s="1" t="s">
        <v>35</v>
      </c>
      <c r="D159" s="1" t="s">
        <v>24</v>
      </c>
      <c r="E159" s="1" t="s">
        <v>457</v>
      </c>
      <c r="F159" s="1" t="s">
        <v>76</v>
      </c>
      <c r="G159" s="1" t="s">
        <v>18</v>
      </c>
      <c r="H159" s="1" t="s">
        <v>19</v>
      </c>
      <c r="I159" s="1" t="s">
        <v>171</v>
      </c>
      <c r="J159" s="1" t="s">
        <v>172</v>
      </c>
      <c r="K159" s="1" t="str">
        <f>VLOOKUP(J159,'IU Major Match'!$D$2:$E$65,2,FALSE)</f>
        <v>Can be Transferred to Bachelor of Engineering</v>
      </c>
      <c r="L159" s="1">
        <v>96178722954</v>
      </c>
      <c r="M159" s="1" t="s">
        <v>99</v>
      </c>
      <c r="N159" s="11">
        <v>108</v>
      </c>
      <c r="O159" s="11">
        <v>7</v>
      </c>
      <c r="P159" s="11">
        <v>18</v>
      </c>
      <c r="Q159" s="11">
        <v>83</v>
      </c>
      <c r="R159" s="5">
        <f t="shared" si="8"/>
        <v>0.23148148148148148</v>
      </c>
      <c r="S159" s="13" t="str">
        <f t="shared" si="9"/>
        <v>=&lt;50</v>
      </c>
      <c r="T159" s="14">
        <f t="shared" si="10"/>
        <v>6</v>
      </c>
      <c r="U159" s="14">
        <f t="shared" si="11"/>
        <v>3</v>
      </c>
    </row>
    <row r="160" spans="1:21" x14ac:dyDescent="0.25">
      <c r="A160" s="1">
        <v>62120018</v>
      </c>
      <c r="B160" s="1">
        <v>166738</v>
      </c>
      <c r="C160" s="1" t="s">
        <v>458</v>
      </c>
      <c r="D160" s="1" t="s">
        <v>170</v>
      </c>
      <c r="E160" s="1" t="s">
        <v>459</v>
      </c>
      <c r="F160" s="1" t="s">
        <v>76</v>
      </c>
      <c r="G160" s="1" t="s">
        <v>93</v>
      </c>
      <c r="H160" s="1" t="s">
        <v>19</v>
      </c>
      <c r="I160" s="1" t="s">
        <v>320</v>
      </c>
      <c r="J160" s="1" t="s">
        <v>321</v>
      </c>
      <c r="K160" s="1" t="str">
        <f>VLOOKUP(J160,'IU Major Match'!$D$2:$E$65,2,FALSE)</f>
        <v xml:space="preserve">Major exists in IU </v>
      </c>
      <c r="L160" s="1">
        <v>96170858201</v>
      </c>
      <c r="M160" s="1" t="s">
        <v>460</v>
      </c>
      <c r="N160" s="11">
        <v>99</v>
      </c>
      <c r="O160" s="11">
        <v>75</v>
      </c>
      <c r="P160" s="11">
        <v>15</v>
      </c>
      <c r="Q160" s="11">
        <v>9</v>
      </c>
      <c r="R160" s="5">
        <f t="shared" si="8"/>
        <v>0.90909090909090906</v>
      </c>
      <c r="S160" s="13" t="str">
        <f t="shared" si="9"/>
        <v>&gt;50</v>
      </c>
      <c r="T160" s="14">
        <f t="shared" si="10"/>
        <v>1</v>
      </c>
      <c r="U160" s="14">
        <f t="shared" si="11"/>
        <v>0.5</v>
      </c>
    </row>
    <row r="161" spans="1:21" x14ac:dyDescent="0.25">
      <c r="A161" s="1">
        <v>62530130</v>
      </c>
      <c r="B161" s="1">
        <v>221042</v>
      </c>
      <c r="C161" s="1" t="s">
        <v>461</v>
      </c>
      <c r="D161" s="1" t="s">
        <v>119</v>
      </c>
      <c r="E161" s="1" t="s">
        <v>462</v>
      </c>
      <c r="F161" s="1" t="s">
        <v>76</v>
      </c>
      <c r="G161" s="1" t="s">
        <v>23</v>
      </c>
      <c r="H161" s="1" t="s">
        <v>19</v>
      </c>
      <c r="I161" s="1" t="s">
        <v>250</v>
      </c>
      <c r="J161" s="1" t="s">
        <v>251</v>
      </c>
      <c r="K161" s="1" t="str">
        <f>VLOOKUP(J161,'IU Major Match'!$D$2:$E$65,2,FALSE)</f>
        <v xml:space="preserve">Major exists in IU </v>
      </c>
      <c r="L161" s="1">
        <v>96181675236</v>
      </c>
      <c r="M161" s="1" t="s">
        <v>99</v>
      </c>
      <c r="N161" s="11">
        <v>99</v>
      </c>
      <c r="O161" s="11">
        <v>0</v>
      </c>
      <c r="P161" s="11">
        <v>13</v>
      </c>
      <c r="Q161" s="11">
        <v>94</v>
      </c>
      <c r="R161" s="5">
        <f t="shared" si="8"/>
        <v>0.13131313131313133</v>
      </c>
      <c r="S161" s="13" t="str">
        <f t="shared" si="9"/>
        <v>=&lt;50</v>
      </c>
      <c r="T161" s="14">
        <f t="shared" si="10"/>
        <v>7</v>
      </c>
      <c r="U161" s="14">
        <f t="shared" si="11"/>
        <v>3.5</v>
      </c>
    </row>
    <row r="162" spans="1:21" x14ac:dyDescent="0.25">
      <c r="A162" s="1">
        <v>62430277</v>
      </c>
      <c r="B162" s="1">
        <v>216342</v>
      </c>
      <c r="C162" s="1" t="s">
        <v>425</v>
      </c>
      <c r="D162" s="1" t="s">
        <v>463</v>
      </c>
      <c r="E162" s="1" t="s">
        <v>464</v>
      </c>
      <c r="F162" s="1" t="s">
        <v>76</v>
      </c>
      <c r="G162" s="1" t="s">
        <v>93</v>
      </c>
      <c r="H162" s="1" t="s">
        <v>19</v>
      </c>
      <c r="I162" s="1" t="s">
        <v>124</v>
      </c>
      <c r="J162" s="1" t="s">
        <v>125</v>
      </c>
      <c r="K162" s="1" t="str">
        <f>VLOOKUP(J162,'IU Major Match'!$D$2:$E$65,2,FALSE)</f>
        <v xml:space="preserve">Major exists in IU </v>
      </c>
      <c r="L162" s="1">
        <v>96171575513</v>
      </c>
      <c r="M162" s="1" t="s">
        <v>113</v>
      </c>
      <c r="N162" s="11">
        <v>99</v>
      </c>
      <c r="O162" s="11">
        <v>21</v>
      </c>
      <c r="P162" s="11">
        <v>12</v>
      </c>
      <c r="Q162" s="11">
        <v>66</v>
      </c>
      <c r="R162" s="5">
        <f t="shared" si="8"/>
        <v>0.33333333333333331</v>
      </c>
      <c r="S162" s="13" t="str">
        <f t="shared" si="9"/>
        <v>=&lt;50</v>
      </c>
      <c r="T162" s="14">
        <f t="shared" si="10"/>
        <v>5</v>
      </c>
      <c r="U162" s="14">
        <f t="shared" si="11"/>
        <v>2.5</v>
      </c>
    </row>
    <row r="163" spans="1:21" x14ac:dyDescent="0.25">
      <c r="A163" s="1">
        <v>62130204</v>
      </c>
      <c r="B163" s="1">
        <v>216755</v>
      </c>
      <c r="C163" s="1" t="s">
        <v>465</v>
      </c>
      <c r="D163" s="1" t="s">
        <v>466</v>
      </c>
      <c r="E163" s="1" t="s">
        <v>239</v>
      </c>
      <c r="F163" s="1" t="s">
        <v>76</v>
      </c>
      <c r="G163" s="1" t="s">
        <v>23</v>
      </c>
      <c r="H163" s="1" t="s">
        <v>19</v>
      </c>
      <c r="I163" s="1" t="s">
        <v>103</v>
      </c>
      <c r="J163" s="1" t="s">
        <v>104</v>
      </c>
      <c r="K163" s="1" t="str">
        <f>VLOOKUP(J163,'IU Major Match'!$D$2:$E$65,2,FALSE)</f>
        <v xml:space="preserve">Major exists in IU </v>
      </c>
      <c r="L163" s="1">
        <v>96171236053</v>
      </c>
      <c r="M163" s="1" t="s">
        <v>113</v>
      </c>
      <c r="N163" s="11">
        <v>100</v>
      </c>
      <c r="O163" s="11">
        <v>79</v>
      </c>
      <c r="P163" s="11">
        <v>12</v>
      </c>
      <c r="Q163" s="11">
        <v>9</v>
      </c>
      <c r="R163" s="5">
        <f t="shared" si="8"/>
        <v>0.91</v>
      </c>
      <c r="S163" s="13" t="str">
        <f t="shared" si="9"/>
        <v>&gt;50</v>
      </c>
      <c r="T163" s="14">
        <f t="shared" si="10"/>
        <v>1</v>
      </c>
      <c r="U163" s="14">
        <f t="shared" si="11"/>
        <v>0.5</v>
      </c>
    </row>
    <row r="164" spans="1:21" x14ac:dyDescent="0.25">
      <c r="A164" s="1">
        <v>62230431</v>
      </c>
      <c r="B164" s="1">
        <v>196675</v>
      </c>
      <c r="C164" s="1" t="s">
        <v>467</v>
      </c>
      <c r="D164" s="1" t="s">
        <v>447</v>
      </c>
      <c r="E164" s="1" t="s">
        <v>468</v>
      </c>
      <c r="F164" s="1" t="s">
        <v>76</v>
      </c>
      <c r="G164" s="1" t="s">
        <v>23</v>
      </c>
      <c r="H164" s="1" t="s">
        <v>19</v>
      </c>
      <c r="I164" s="1" t="s">
        <v>151</v>
      </c>
      <c r="J164" s="1" t="s">
        <v>152</v>
      </c>
      <c r="K164" s="1" t="str">
        <f>VLOOKUP(J164,'IU Major Match'!$D$2:$E$65,2,FALSE)</f>
        <v>Major Dont exists in IU</v>
      </c>
      <c r="L164" s="1">
        <v>71764606</v>
      </c>
      <c r="M164" s="1" t="s">
        <v>153</v>
      </c>
      <c r="N164" s="11">
        <v>105</v>
      </c>
      <c r="O164" s="11">
        <v>84</v>
      </c>
      <c r="P164" s="11">
        <v>15</v>
      </c>
      <c r="Q164" s="11">
        <v>6</v>
      </c>
      <c r="R164" s="5">
        <f t="shared" si="8"/>
        <v>0.94285714285714284</v>
      </c>
      <c r="S164" s="13" t="str">
        <f t="shared" si="9"/>
        <v>&gt;50</v>
      </c>
      <c r="T164" s="14">
        <f t="shared" si="10"/>
        <v>1</v>
      </c>
      <c r="U164" s="14">
        <f t="shared" si="11"/>
        <v>0.5</v>
      </c>
    </row>
    <row r="165" spans="1:21" x14ac:dyDescent="0.25">
      <c r="A165" s="1">
        <v>62430238</v>
      </c>
      <c r="B165" s="1">
        <v>215183</v>
      </c>
      <c r="C165" s="1" t="s">
        <v>469</v>
      </c>
      <c r="D165" s="1" t="s">
        <v>470</v>
      </c>
      <c r="E165" s="1" t="s">
        <v>471</v>
      </c>
      <c r="F165" s="1" t="s">
        <v>76</v>
      </c>
      <c r="G165" s="1" t="s">
        <v>93</v>
      </c>
      <c r="H165" s="1" t="s">
        <v>19</v>
      </c>
      <c r="I165" s="1" t="s">
        <v>107</v>
      </c>
      <c r="J165" s="1" t="s">
        <v>108</v>
      </c>
      <c r="K165" s="1" t="str">
        <f>VLOOKUP(J165,'IU Major Match'!$D$2:$E$65,2,FALSE)</f>
        <v xml:space="preserve">Major exists in IU </v>
      </c>
      <c r="L165" s="1">
        <v>79118087</v>
      </c>
      <c r="M165" s="1" t="s">
        <v>113</v>
      </c>
      <c r="N165" s="11">
        <v>99</v>
      </c>
      <c r="O165" s="11">
        <v>30</v>
      </c>
      <c r="P165" s="11">
        <v>12</v>
      </c>
      <c r="Q165" s="11">
        <v>57</v>
      </c>
      <c r="R165" s="5">
        <f t="shared" si="8"/>
        <v>0.42424242424242425</v>
      </c>
      <c r="S165" s="13" t="str">
        <f t="shared" si="9"/>
        <v>=&lt;50</v>
      </c>
      <c r="T165" s="14">
        <f t="shared" si="10"/>
        <v>4</v>
      </c>
      <c r="U165" s="14">
        <f t="shared" si="11"/>
        <v>2</v>
      </c>
    </row>
    <row r="166" spans="1:21" x14ac:dyDescent="0.25">
      <c r="A166" s="1">
        <v>62530191</v>
      </c>
      <c r="B166" s="1">
        <v>223884</v>
      </c>
      <c r="C166" s="1" t="s">
        <v>472</v>
      </c>
      <c r="D166" s="1" t="s">
        <v>131</v>
      </c>
      <c r="E166" s="1" t="s">
        <v>473</v>
      </c>
      <c r="F166" s="1" t="s">
        <v>76</v>
      </c>
      <c r="G166" s="1" t="s">
        <v>68</v>
      </c>
      <c r="H166" s="1" t="s">
        <v>19</v>
      </c>
      <c r="I166" s="1" t="s">
        <v>474</v>
      </c>
      <c r="J166" s="1" t="s">
        <v>475</v>
      </c>
      <c r="K166" s="1" t="str">
        <f>VLOOKUP(J166,'IU Major Match'!$D$2:$E$65,2,FALSE)</f>
        <v xml:space="preserve">Major exists in IU </v>
      </c>
      <c r="L166" s="1">
        <v>96176553715</v>
      </c>
      <c r="M166" s="1" t="s">
        <v>99</v>
      </c>
      <c r="N166" s="11">
        <v>99</v>
      </c>
      <c r="O166" s="11">
        <v>6</v>
      </c>
      <c r="P166" s="11">
        <v>10</v>
      </c>
      <c r="Q166" s="11">
        <v>91</v>
      </c>
      <c r="R166" s="5">
        <f t="shared" si="8"/>
        <v>0.16161616161616163</v>
      </c>
      <c r="S166" s="13" t="str">
        <f t="shared" si="9"/>
        <v>=&lt;50</v>
      </c>
      <c r="T166" s="14">
        <f t="shared" si="10"/>
        <v>7</v>
      </c>
      <c r="U166" s="14">
        <f t="shared" si="11"/>
        <v>3.5</v>
      </c>
    </row>
    <row r="167" spans="1:21" x14ac:dyDescent="0.25">
      <c r="A167" s="1">
        <v>62530019</v>
      </c>
      <c r="B167" s="1">
        <v>219161</v>
      </c>
      <c r="C167" s="1" t="s">
        <v>476</v>
      </c>
      <c r="D167" s="1" t="s">
        <v>441</v>
      </c>
      <c r="E167" s="1" t="s">
        <v>477</v>
      </c>
      <c r="F167" s="1" t="s">
        <v>76</v>
      </c>
      <c r="G167" s="1" t="s">
        <v>23</v>
      </c>
      <c r="H167" s="1" t="s">
        <v>19</v>
      </c>
      <c r="I167" s="1" t="s">
        <v>277</v>
      </c>
      <c r="J167" s="1" t="s">
        <v>278</v>
      </c>
      <c r="K167" s="1" t="str">
        <f>VLOOKUP(J167,'IU Major Match'!$D$2:$E$65,2,FALSE)</f>
        <v>Major Dont exists in IU</v>
      </c>
      <c r="L167" s="1">
        <v>96178736297</v>
      </c>
      <c r="M167" s="1" t="s">
        <v>99</v>
      </c>
      <c r="N167" s="11">
        <v>99</v>
      </c>
      <c r="O167" s="11">
        <v>6</v>
      </c>
      <c r="P167" s="11">
        <v>7</v>
      </c>
      <c r="Q167" s="11">
        <v>97</v>
      </c>
      <c r="R167" s="5">
        <f t="shared" si="8"/>
        <v>0.13131313131313133</v>
      </c>
      <c r="S167" s="13" t="str">
        <f t="shared" si="9"/>
        <v>=&lt;50</v>
      </c>
      <c r="T167" s="14">
        <f t="shared" si="10"/>
        <v>7</v>
      </c>
      <c r="U167" s="14">
        <f t="shared" si="11"/>
        <v>3.5</v>
      </c>
    </row>
    <row r="168" spans="1:21" x14ac:dyDescent="0.25">
      <c r="A168" s="1">
        <v>62530197</v>
      </c>
      <c r="B168" s="1">
        <v>223864</v>
      </c>
      <c r="C168" s="1" t="s">
        <v>478</v>
      </c>
      <c r="D168" s="1" t="s">
        <v>479</v>
      </c>
      <c r="E168" s="1" t="s">
        <v>480</v>
      </c>
      <c r="F168" s="1" t="s">
        <v>76</v>
      </c>
      <c r="G168" s="1" t="s">
        <v>23</v>
      </c>
      <c r="H168" s="1" t="s">
        <v>19</v>
      </c>
      <c r="I168" s="1" t="s">
        <v>258</v>
      </c>
      <c r="J168" s="1" t="s">
        <v>259</v>
      </c>
      <c r="K168" s="1" t="str">
        <f>VLOOKUP(J168,'IU Major Match'!$D$2:$E$65,2,FALSE)</f>
        <v xml:space="preserve">Major exists in IU </v>
      </c>
      <c r="L168" s="1">
        <v>96179359299</v>
      </c>
      <c r="M168" s="1" t="s">
        <v>99</v>
      </c>
      <c r="N168" s="11">
        <v>108</v>
      </c>
      <c r="O168" s="11">
        <v>9</v>
      </c>
      <c r="P168" s="11">
        <v>12</v>
      </c>
      <c r="Q168" s="11">
        <v>87</v>
      </c>
      <c r="R168" s="5">
        <f t="shared" si="8"/>
        <v>0.19444444444444445</v>
      </c>
      <c r="S168" s="13" t="str">
        <f t="shared" si="9"/>
        <v>=&lt;50</v>
      </c>
      <c r="T168" s="14">
        <f t="shared" si="10"/>
        <v>6</v>
      </c>
      <c r="U168" s="14">
        <f t="shared" si="11"/>
        <v>3</v>
      </c>
    </row>
    <row r="169" spans="1:21" x14ac:dyDescent="0.25">
      <c r="A169" s="1">
        <v>62330226</v>
      </c>
      <c r="B169" s="1">
        <v>202709</v>
      </c>
      <c r="C169" s="1" t="s">
        <v>481</v>
      </c>
      <c r="D169" s="1" t="s">
        <v>482</v>
      </c>
      <c r="E169" s="1" t="s">
        <v>483</v>
      </c>
      <c r="F169" s="1" t="s">
        <v>76</v>
      </c>
      <c r="G169" s="1" t="s">
        <v>23</v>
      </c>
      <c r="H169" s="1" t="s">
        <v>19</v>
      </c>
      <c r="I169" s="1" t="s">
        <v>116</v>
      </c>
      <c r="J169" s="1" t="s">
        <v>117</v>
      </c>
      <c r="K169" s="1" t="str">
        <f>VLOOKUP(J169,'IU Major Match'!$D$2:$E$65,2,FALSE)</f>
        <v>Major Dont exists in IU</v>
      </c>
      <c r="L169" s="1">
        <v>3369943</v>
      </c>
      <c r="M169" s="1" t="s">
        <v>90</v>
      </c>
      <c r="N169" s="11">
        <v>99</v>
      </c>
      <c r="O169" s="11">
        <v>54</v>
      </c>
      <c r="P169" s="11">
        <v>15</v>
      </c>
      <c r="Q169" s="11">
        <v>30</v>
      </c>
      <c r="R169" s="5">
        <f t="shared" si="8"/>
        <v>0.69696969696969702</v>
      </c>
      <c r="S169" s="13" t="str">
        <f t="shared" si="9"/>
        <v>&gt;50</v>
      </c>
      <c r="T169" s="14">
        <f t="shared" si="10"/>
        <v>2</v>
      </c>
      <c r="U169" s="14">
        <f t="shared" si="11"/>
        <v>1</v>
      </c>
    </row>
    <row r="170" spans="1:21" x14ac:dyDescent="0.25">
      <c r="A170" s="1">
        <v>62530216</v>
      </c>
      <c r="B170" s="1">
        <v>224522</v>
      </c>
      <c r="C170" s="1" t="s">
        <v>484</v>
      </c>
      <c r="D170" s="1" t="s">
        <v>48</v>
      </c>
      <c r="E170" s="1" t="s">
        <v>222</v>
      </c>
      <c r="F170" s="1" t="s">
        <v>76</v>
      </c>
      <c r="G170" s="1" t="s">
        <v>23</v>
      </c>
      <c r="H170" s="1" t="s">
        <v>19</v>
      </c>
      <c r="I170" s="1" t="s">
        <v>226</v>
      </c>
      <c r="J170" s="1" t="s">
        <v>227</v>
      </c>
      <c r="K170" s="1" t="str">
        <f>VLOOKUP(J170,'IU Major Match'!$D$2:$E$65,2,FALSE)</f>
        <v>Major Dont exists in IU</v>
      </c>
      <c r="L170" s="1">
        <v>81516058</v>
      </c>
      <c r="M170" s="1" t="s">
        <v>99</v>
      </c>
      <c r="N170" s="11">
        <v>99</v>
      </c>
      <c r="O170" s="11">
        <v>6</v>
      </c>
      <c r="P170" s="11">
        <v>11</v>
      </c>
      <c r="Q170" s="11">
        <v>82</v>
      </c>
      <c r="R170" s="5">
        <f t="shared" si="8"/>
        <v>0.17171717171717171</v>
      </c>
      <c r="S170" s="13" t="str">
        <f t="shared" si="9"/>
        <v>=&lt;50</v>
      </c>
      <c r="T170" s="14">
        <f t="shared" si="10"/>
        <v>6</v>
      </c>
      <c r="U170" s="14">
        <f t="shared" si="11"/>
        <v>3</v>
      </c>
    </row>
    <row r="171" spans="1:21" x14ac:dyDescent="0.25">
      <c r="A171" s="1">
        <v>62530200</v>
      </c>
      <c r="B171" s="1">
        <v>224505</v>
      </c>
      <c r="C171" s="1" t="s">
        <v>485</v>
      </c>
      <c r="D171" s="1" t="s">
        <v>418</v>
      </c>
      <c r="E171" s="1" t="s">
        <v>486</v>
      </c>
      <c r="F171" s="1" t="s">
        <v>76</v>
      </c>
      <c r="G171" s="1" t="s">
        <v>93</v>
      </c>
      <c r="H171" s="1" t="s">
        <v>19</v>
      </c>
      <c r="I171" s="1" t="s">
        <v>349</v>
      </c>
      <c r="J171" s="1" t="s">
        <v>350</v>
      </c>
      <c r="K171" s="1" t="str">
        <f>VLOOKUP(J171,'IU Major Match'!$D$2:$E$65,2,FALSE)</f>
        <v xml:space="preserve">Major exists in IU </v>
      </c>
      <c r="L171" s="1">
        <v>96176817854</v>
      </c>
      <c r="M171" s="1" t="s">
        <v>99</v>
      </c>
      <c r="N171" s="11">
        <v>99</v>
      </c>
      <c r="O171" s="11">
        <v>0</v>
      </c>
      <c r="P171" s="11">
        <v>16</v>
      </c>
      <c r="Q171" s="11">
        <v>87</v>
      </c>
      <c r="R171" s="5">
        <f t="shared" si="8"/>
        <v>0.16161616161616163</v>
      </c>
      <c r="S171" s="13" t="str">
        <f t="shared" si="9"/>
        <v>=&lt;50</v>
      </c>
      <c r="T171" s="14">
        <f t="shared" si="10"/>
        <v>6</v>
      </c>
      <c r="U171" s="14">
        <f t="shared" si="11"/>
        <v>3</v>
      </c>
    </row>
    <row r="172" spans="1:21" x14ac:dyDescent="0.25">
      <c r="A172" s="1">
        <v>62530199</v>
      </c>
      <c r="B172" s="1">
        <v>224553</v>
      </c>
      <c r="C172" s="1" t="s">
        <v>485</v>
      </c>
      <c r="D172" s="1" t="s">
        <v>487</v>
      </c>
      <c r="E172" s="1" t="s">
        <v>488</v>
      </c>
      <c r="F172" s="1" t="s">
        <v>76</v>
      </c>
      <c r="G172" s="1" t="s">
        <v>93</v>
      </c>
      <c r="H172" s="1" t="s">
        <v>19</v>
      </c>
      <c r="I172" s="1" t="s">
        <v>124</v>
      </c>
      <c r="J172" s="1" t="s">
        <v>125</v>
      </c>
      <c r="K172" s="1" t="str">
        <f>VLOOKUP(J172,'IU Major Match'!$D$2:$E$65,2,FALSE)</f>
        <v xml:space="preserve">Major exists in IU </v>
      </c>
      <c r="L172" s="1">
        <v>96181775661</v>
      </c>
      <c r="M172" s="1" t="s">
        <v>99</v>
      </c>
      <c r="N172" s="11">
        <v>99</v>
      </c>
      <c r="O172" s="11">
        <v>0</v>
      </c>
      <c r="P172" s="11">
        <v>13</v>
      </c>
      <c r="Q172" s="11">
        <v>90</v>
      </c>
      <c r="R172" s="5">
        <f t="shared" si="8"/>
        <v>0.13131313131313133</v>
      </c>
      <c r="S172" s="13" t="str">
        <f t="shared" si="9"/>
        <v>=&lt;50</v>
      </c>
      <c r="T172" s="14">
        <f t="shared" si="10"/>
        <v>6</v>
      </c>
      <c r="U172" s="14">
        <f t="shared" si="11"/>
        <v>3</v>
      </c>
    </row>
    <row r="173" spans="1:21" x14ac:dyDescent="0.25">
      <c r="A173" s="1">
        <v>62530090</v>
      </c>
      <c r="B173" s="1">
        <v>224568</v>
      </c>
      <c r="C173" s="1" t="s">
        <v>130</v>
      </c>
      <c r="D173" s="1" t="s">
        <v>119</v>
      </c>
      <c r="E173" s="1" t="s">
        <v>399</v>
      </c>
      <c r="F173" s="1" t="s">
        <v>76</v>
      </c>
      <c r="G173" s="1" t="s">
        <v>93</v>
      </c>
      <c r="H173" s="1" t="s">
        <v>19</v>
      </c>
      <c r="I173" s="1" t="s">
        <v>216</v>
      </c>
      <c r="J173" s="1" t="s">
        <v>217</v>
      </c>
      <c r="K173" s="1" t="str">
        <f>VLOOKUP(J173,'IU Major Match'!$D$2:$E$65,2,FALSE)</f>
        <v xml:space="preserve">Major exists in IU </v>
      </c>
      <c r="L173" s="1">
        <v>71755155</v>
      </c>
      <c r="M173" s="1" t="s">
        <v>99</v>
      </c>
      <c r="N173" s="11">
        <v>99</v>
      </c>
      <c r="O173" s="11">
        <v>9</v>
      </c>
      <c r="P173" s="11">
        <v>18</v>
      </c>
      <c r="Q173" s="11">
        <v>72</v>
      </c>
      <c r="R173" s="5">
        <f t="shared" si="8"/>
        <v>0.27272727272727271</v>
      </c>
      <c r="S173" s="13" t="str">
        <f t="shared" si="9"/>
        <v>=&lt;50</v>
      </c>
      <c r="T173" s="14">
        <f t="shared" si="10"/>
        <v>5</v>
      </c>
      <c r="U173" s="14">
        <f t="shared" si="11"/>
        <v>2.5</v>
      </c>
    </row>
    <row r="174" spans="1:21" x14ac:dyDescent="0.25">
      <c r="A174" s="1">
        <v>62530154</v>
      </c>
      <c r="B174" s="1">
        <v>222148</v>
      </c>
      <c r="C174" s="1" t="s">
        <v>489</v>
      </c>
      <c r="D174" s="1" t="s">
        <v>140</v>
      </c>
      <c r="E174" s="1" t="s">
        <v>490</v>
      </c>
      <c r="F174" s="1" t="s">
        <v>76</v>
      </c>
      <c r="G174" s="1" t="s">
        <v>93</v>
      </c>
      <c r="H174" s="1" t="s">
        <v>19</v>
      </c>
      <c r="I174" s="1" t="s">
        <v>138</v>
      </c>
      <c r="J174" s="1" t="s">
        <v>139</v>
      </c>
      <c r="K174" s="1" t="str">
        <f>VLOOKUP(J174,'IU Major Match'!$D$2:$E$65,2,FALSE)</f>
        <v xml:space="preserve">Major exists in IU </v>
      </c>
      <c r="L174" s="1">
        <v>96181611465</v>
      </c>
      <c r="M174" s="1" t="s">
        <v>99</v>
      </c>
      <c r="N174" s="11">
        <v>99</v>
      </c>
      <c r="O174" s="11">
        <v>0</v>
      </c>
      <c r="P174" s="11">
        <v>13</v>
      </c>
      <c r="Q174" s="11">
        <v>94</v>
      </c>
      <c r="R174" s="5">
        <f t="shared" si="8"/>
        <v>0.13131313131313133</v>
      </c>
      <c r="S174" s="13" t="str">
        <f t="shared" si="9"/>
        <v>=&lt;50</v>
      </c>
      <c r="T174" s="14">
        <f t="shared" si="10"/>
        <v>7</v>
      </c>
      <c r="U174" s="14">
        <f t="shared" si="11"/>
        <v>3.5</v>
      </c>
    </row>
    <row r="175" spans="1:21" x14ac:dyDescent="0.25">
      <c r="A175" s="1">
        <v>62510046</v>
      </c>
      <c r="B175" s="1">
        <v>218048</v>
      </c>
      <c r="C175" s="1" t="s">
        <v>489</v>
      </c>
      <c r="D175" s="1" t="s">
        <v>491</v>
      </c>
      <c r="E175" s="1" t="s">
        <v>492</v>
      </c>
      <c r="F175" s="1" t="s">
        <v>76</v>
      </c>
      <c r="G175" s="1" t="s">
        <v>68</v>
      </c>
      <c r="H175" s="1" t="s">
        <v>19</v>
      </c>
      <c r="I175" s="1" t="s">
        <v>474</v>
      </c>
      <c r="J175" s="1" t="s">
        <v>475</v>
      </c>
      <c r="K175" s="1" t="str">
        <f>VLOOKUP(J175,'IU Major Match'!$D$2:$E$65,2,FALSE)</f>
        <v xml:space="preserve">Major exists in IU </v>
      </c>
      <c r="L175" s="1">
        <v>76134945</v>
      </c>
      <c r="M175" s="1" t="s">
        <v>242</v>
      </c>
      <c r="N175" s="11">
        <v>99</v>
      </c>
      <c r="O175" s="11">
        <v>27</v>
      </c>
      <c r="P175" s="11">
        <v>18</v>
      </c>
      <c r="Q175" s="11">
        <v>54</v>
      </c>
      <c r="R175" s="5">
        <f t="shared" si="8"/>
        <v>0.45454545454545453</v>
      </c>
      <c r="S175" s="13" t="str">
        <f t="shared" si="9"/>
        <v>=&lt;50</v>
      </c>
      <c r="T175" s="14">
        <f t="shared" si="10"/>
        <v>4</v>
      </c>
      <c r="U175" s="14">
        <f t="shared" si="11"/>
        <v>2</v>
      </c>
    </row>
    <row r="176" spans="1:21" x14ac:dyDescent="0.25">
      <c r="A176" s="1">
        <v>62310047</v>
      </c>
      <c r="B176" s="1">
        <v>197821</v>
      </c>
      <c r="C176" s="1" t="s">
        <v>493</v>
      </c>
      <c r="D176" s="1" t="s">
        <v>494</v>
      </c>
      <c r="E176" s="1" t="s">
        <v>495</v>
      </c>
      <c r="F176" s="1" t="s">
        <v>76</v>
      </c>
      <c r="G176" s="1" t="s">
        <v>23</v>
      </c>
      <c r="H176" s="1" t="s">
        <v>19</v>
      </c>
      <c r="I176" s="1" t="s">
        <v>103</v>
      </c>
      <c r="J176" s="1" t="s">
        <v>104</v>
      </c>
      <c r="K176" s="1" t="str">
        <f>VLOOKUP(J176,'IU Major Match'!$D$2:$E$65,2,FALSE)</f>
        <v xml:space="preserve">Major exists in IU </v>
      </c>
      <c r="L176" s="1">
        <v>76559095</v>
      </c>
      <c r="M176" s="1" t="s">
        <v>178</v>
      </c>
      <c r="N176" s="11">
        <v>100</v>
      </c>
      <c r="O176" s="11">
        <v>50</v>
      </c>
      <c r="P176" s="11">
        <v>12</v>
      </c>
      <c r="Q176" s="11">
        <v>38</v>
      </c>
      <c r="R176" s="5">
        <f t="shared" si="8"/>
        <v>0.62</v>
      </c>
      <c r="S176" s="13" t="str">
        <f t="shared" si="9"/>
        <v>&gt;50</v>
      </c>
      <c r="T176" s="14">
        <f t="shared" si="10"/>
        <v>3</v>
      </c>
      <c r="U176" s="14">
        <f t="shared" si="11"/>
        <v>1.5</v>
      </c>
    </row>
    <row r="177" spans="1:21" x14ac:dyDescent="0.25">
      <c r="A177" s="1">
        <v>62530018</v>
      </c>
      <c r="B177" s="1">
        <v>219158</v>
      </c>
      <c r="C177" s="1" t="s">
        <v>496</v>
      </c>
      <c r="D177" s="1" t="s">
        <v>441</v>
      </c>
      <c r="E177" s="1" t="s">
        <v>477</v>
      </c>
      <c r="F177" s="1" t="s">
        <v>76</v>
      </c>
      <c r="G177" s="1" t="s">
        <v>23</v>
      </c>
      <c r="H177" s="1" t="s">
        <v>19</v>
      </c>
      <c r="I177" s="1" t="s">
        <v>97</v>
      </c>
      <c r="J177" s="1" t="s">
        <v>98</v>
      </c>
      <c r="K177" s="1" t="str">
        <f>VLOOKUP(J177,'IU Major Match'!$D$2:$E$65,2,FALSE)</f>
        <v>Major Dont exists in IU</v>
      </c>
      <c r="L177" s="1">
        <v>96171161420</v>
      </c>
      <c r="M177" s="1" t="s">
        <v>99</v>
      </c>
      <c r="N177" s="11">
        <v>105</v>
      </c>
      <c r="O177" s="11">
        <v>6</v>
      </c>
      <c r="P177" s="11">
        <v>10</v>
      </c>
      <c r="Q177" s="11">
        <v>103</v>
      </c>
      <c r="R177" s="5">
        <f t="shared" si="8"/>
        <v>0.15238095238095239</v>
      </c>
      <c r="S177" s="13" t="str">
        <f t="shared" si="9"/>
        <v>=&lt;50</v>
      </c>
      <c r="T177" s="14">
        <f t="shared" si="10"/>
        <v>7</v>
      </c>
      <c r="U177" s="14">
        <f t="shared" si="11"/>
        <v>3.5</v>
      </c>
    </row>
    <row r="178" spans="1:21" x14ac:dyDescent="0.25">
      <c r="A178" s="1">
        <v>62230162</v>
      </c>
      <c r="B178" s="1">
        <v>187265</v>
      </c>
      <c r="C178" s="1" t="s">
        <v>496</v>
      </c>
      <c r="D178" s="1" t="s">
        <v>35</v>
      </c>
      <c r="E178" s="1" t="s">
        <v>497</v>
      </c>
      <c r="F178" s="1" t="s">
        <v>76</v>
      </c>
      <c r="G178" s="1" t="s">
        <v>23</v>
      </c>
      <c r="H178" s="1" t="s">
        <v>19</v>
      </c>
      <c r="I178" s="1" t="s">
        <v>103</v>
      </c>
      <c r="J178" s="1" t="s">
        <v>104</v>
      </c>
      <c r="K178" s="1" t="str">
        <f>VLOOKUP(J178,'IU Major Match'!$D$2:$E$65,2,FALSE)</f>
        <v xml:space="preserve">Major exists in IU </v>
      </c>
      <c r="L178" s="1">
        <v>96171512401</v>
      </c>
      <c r="M178" s="1" t="s">
        <v>153</v>
      </c>
      <c r="N178" s="11">
        <v>100</v>
      </c>
      <c r="O178" s="11">
        <v>66</v>
      </c>
      <c r="P178" s="11">
        <v>15</v>
      </c>
      <c r="Q178" s="11">
        <v>19</v>
      </c>
      <c r="R178" s="5">
        <f t="shared" si="8"/>
        <v>0.81</v>
      </c>
      <c r="S178" s="13" t="str">
        <f t="shared" si="9"/>
        <v>&gt;50</v>
      </c>
      <c r="T178" s="14">
        <f t="shared" si="10"/>
        <v>2</v>
      </c>
      <c r="U178" s="14">
        <f t="shared" si="11"/>
        <v>1</v>
      </c>
    </row>
    <row r="179" spans="1:21" x14ac:dyDescent="0.25">
      <c r="A179" s="1">
        <v>62330233</v>
      </c>
      <c r="B179" s="1">
        <v>203251</v>
      </c>
      <c r="C179" s="1" t="s">
        <v>119</v>
      </c>
      <c r="D179" s="1" t="s">
        <v>65</v>
      </c>
      <c r="E179" s="1" t="s">
        <v>498</v>
      </c>
      <c r="F179" s="1" t="s">
        <v>76</v>
      </c>
      <c r="G179" s="1" t="s">
        <v>18</v>
      </c>
      <c r="H179" s="1" t="s">
        <v>19</v>
      </c>
      <c r="I179" s="1" t="s">
        <v>82</v>
      </c>
      <c r="J179" s="1" t="s">
        <v>83</v>
      </c>
      <c r="K179" s="1" t="str">
        <f>VLOOKUP(J179,'IU Major Match'!$D$2:$E$65,2,FALSE)</f>
        <v>Can be Transferred to Bachelor of Engineering</v>
      </c>
      <c r="L179" s="1">
        <v>76408740</v>
      </c>
      <c r="M179" s="1" t="s">
        <v>90</v>
      </c>
      <c r="N179" s="11">
        <v>108</v>
      </c>
      <c r="O179" s="11">
        <v>63</v>
      </c>
      <c r="P179" s="11">
        <v>11</v>
      </c>
      <c r="Q179" s="11">
        <v>34</v>
      </c>
      <c r="R179" s="5">
        <f t="shared" si="8"/>
        <v>0.68518518518518523</v>
      </c>
      <c r="S179" s="13" t="str">
        <f t="shared" si="9"/>
        <v>&gt;50</v>
      </c>
      <c r="T179" s="14">
        <f t="shared" si="10"/>
        <v>3</v>
      </c>
      <c r="U179" s="14">
        <f t="shared" si="11"/>
        <v>1.5</v>
      </c>
    </row>
    <row r="180" spans="1:21" x14ac:dyDescent="0.25">
      <c r="A180" s="1">
        <v>62530031</v>
      </c>
      <c r="B180" s="1">
        <v>219164</v>
      </c>
      <c r="C180" s="1" t="s">
        <v>119</v>
      </c>
      <c r="D180" s="1" t="s">
        <v>367</v>
      </c>
      <c r="E180" s="1" t="s">
        <v>499</v>
      </c>
      <c r="F180" s="1" t="s">
        <v>76</v>
      </c>
      <c r="G180" s="1" t="s">
        <v>93</v>
      </c>
      <c r="H180" s="1" t="s">
        <v>19</v>
      </c>
      <c r="I180" s="1" t="s">
        <v>349</v>
      </c>
      <c r="J180" s="1" t="s">
        <v>350</v>
      </c>
      <c r="K180" s="1" t="str">
        <f>VLOOKUP(J180,'IU Major Match'!$D$2:$E$65,2,FALSE)</f>
        <v xml:space="preserve">Major exists in IU </v>
      </c>
      <c r="L180" s="1">
        <v>9610000000</v>
      </c>
      <c r="M180" s="1" t="s">
        <v>99</v>
      </c>
      <c r="N180" s="11">
        <v>99</v>
      </c>
      <c r="O180" s="11">
        <v>6</v>
      </c>
      <c r="P180" s="11">
        <v>10</v>
      </c>
      <c r="Q180" s="11">
        <v>87</v>
      </c>
      <c r="R180" s="5">
        <f t="shared" si="8"/>
        <v>0.16161616161616163</v>
      </c>
      <c r="S180" s="13" t="str">
        <f t="shared" si="9"/>
        <v>=&lt;50</v>
      </c>
      <c r="T180" s="14">
        <f t="shared" si="10"/>
        <v>6</v>
      </c>
      <c r="U180" s="14">
        <f t="shared" si="11"/>
        <v>3</v>
      </c>
    </row>
    <row r="181" spans="1:21" x14ac:dyDescent="0.25">
      <c r="A181" s="1">
        <v>62230378</v>
      </c>
      <c r="B181" s="1">
        <v>193147</v>
      </c>
      <c r="C181" s="1" t="s">
        <v>119</v>
      </c>
      <c r="D181" s="1" t="s">
        <v>131</v>
      </c>
      <c r="E181" s="1" t="s">
        <v>500</v>
      </c>
      <c r="F181" s="1" t="s">
        <v>76</v>
      </c>
      <c r="G181" s="1" t="s">
        <v>23</v>
      </c>
      <c r="H181" s="1" t="s">
        <v>19</v>
      </c>
      <c r="I181" s="1" t="s">
        <v>103</v>
      </c>
      <c r="J181" s="1" t="s">
        <v>104</v>
      </c>
      <c r="K181" s="1" t="str">
        <f>VLOOKUP(J181,'IU Major Match'!$D$2:$E$65,2,FALSE)</f>
        <v xml:space="preserve">Major exists in IU </v>
      </c>
      <c r="L181" s="1">
        <v>96181015452</v>
      </c>
      <c r="M181" s="1" t="s">
        <v>153</v>
      </c>
      <c r="N181" s="11">
        <v>100</v>
      </c>
      <c r="O181" s="11">
        <v>84</v>
      </c>
      <c r="P181" s="11">
        <v>13</v>
      </c>
      <c r="Q181" s="11">
        <v>3</v>
      </c>
      <c r="R181" s="5">
        <f t="shared" si="8"/>
        <v>0.97</v>
      </c>
      <c r="S181" s="13" t="str">
        <f t="shared" si="9"/>
        <v>&gt;50</v>
      </c>
      <c r="T181" s="14">
        <f t="shared" si="10"/>
        <v>1</v>
      </c>
      <c r="U181" s="14">
        <f t="shared" si="11"/>
        <v>0.5</v>
      </c>
    </row>
    <row r="182" spans="1:21" x14ac:dyDescent="0.25">
      <c r="A182" s="1">
        <v>62530050</v>
      </c>
      <c r="B182" s="1">
        <v>219382</v>
      </c>
      <c r="C182" s="1" t="s">
        <v>119</v>
      </c>
      <c r="D182" s="1" t="s">
        <v>443</v>
      </c>
      <c r="E182" s="1" t="s">
        <v>207</v>
      </c>
      <c r="F182" s="1" t="s">
        <v>76</v>
      </c>
      <c r="G182" s="1" t="s">
        <v>93</v>
      </c>
      <c r="H182" s="1" t="s">
        <v>19</v>
      </c>
      <c r="I182" s="1" t="s">
        <v>138</v>
      </c>
      <c r="J182" s="1" t="s">
        <v>139</v>
      </c>
      <c r="K182" s="1" t="str">
        <f>VLOOKUP(J182,'IU Major Match'!$D$2:$E$65,2,FALSE)</f>
        <v xml:space="preserve">Major exists in IU </v>
      </c>
      <c r="L182" s="1">
        <v>96171484232</v>
      </c>
      <c r="M182" s="1" t="s">
        <v>99</v>
      </c>
      <c r="N182" s="11">
        <v>99</v>
      </c>
      <c r="O182" s="11">
        <v>3</v>
      </c>
      <c r="P182" s="11">
        <v>13</v>
      </c>
      <c r="Q182" s="11">
        <v>91</v>
      </c>
      <c r="R182" s="5">
        <f t="shared" si="8"/>
        <v>0.16161616161616163</v>
      </c>
      <c r="S182" s="13" t="str">
        <f t="shared" si="9"/>
        <v>=&lt;50</v>
      </c>
      <c r="T182" s="14">
        <f t="shared" si="10"/>
        <v>7</v>
      </c>
      <c r="U182" s="14">
        <f t="shared" si="11"/>
        <v>3.5</v>
      </c>
    </row>
    <row r="183" spans="1:21" x14ac:dyDescent="0.25">
      <c r="A183" s="1">
        <v>62330127</v>
      </c>
      <c r="B183" s="1">
        <v>199855</v>
      </c>
      <c r="C183" s="1" t="s">
        <v>119</v>
      </c>
      <c r="D183" s="1" t="s">
        <v>501</v>
      </c>
      <c r="E183" s="1" t="s">
        <v>502</v>
      </c>
      <c r="F183" s="1" t="s">
        <v>76</v>
      </c>
      <c r="G183" s="1" t="s">
        <v>93</v>
      </c>
      <c r="H183" s="1" t="s">
        <v>19</v>
      </c>
      <c r="I183" s="1" t="s">
        <v>168</v>
      </c>
      <c r="J183" s="1" t="s">
        <v>169</v>
      </c>
      <c r="K183" s="1" t="str">
        <f>VLOOKUP(J183,'IU Major Match'!$D$2:$E$65,2,FALSE)</f>
        <v>Major Dont exists in IU</v>
      </c>
      <c r="L183" s="1">
        <v>70290980</v>
      </c>
      <c r="M183" s="1" t="s">
        <v>90</v>
      </c>
      <c r="N183" s="11">
        <v>99</v>
      </c>
      <c r="O183" s="11">
        <v>54</v>
      </c>
      <c r="P183" s="11">
        <v>15</v>
      </c>
      <c r="Q183" s="11">
        <v>30</v>
      </c>
      <c r="R183" s="5">
        <f t="shared" si="8"/>
        <v>0.69696969696969702</v>
      </c>
      <c r="S183" s="13" t="str">
        <f t="shared" si="9"/>
        <v>&gt;50</v>
      </c>
      <c r="T183" s="14">
        <f t="shared" si="10"/>
        <v>2</v>
      </c>
      <c r="U183" s="14">
        <f t="shared" si="11"/>
        <v>1</v>
      </c>
    </row>
    <row r="184" spans="1:21" x14ac:dyDescent="0.25">
      <c r="A184" s="1">
        <v>62430299</v>
      </c>
      <c r="B184" s="1">
        <v>215971</v>
      </c>
      <c r="C184" s="1" t="s">
        <v>119</v>
      </c>
      <c r="D184" s="1" t="s">
        <v>286</v>
      </c>
      <c r="E184" s="1" t="s">
        <v>366</v>
      </c>
      <c r="F184" s="1" t="s">
        <v>76</v>
      </c>
      <c r="G184" s="1" t="s">
        <v>93</v>
      </c>
      <c r="H184" s="1" t="s">
        <v>19</v>
      </c>
      <c r="I184" s="1" t="s">
        <v>133</v>
      </c>
      <c r="J184" s="1" t="s">
        <v>134</v>
      </c>
      <c r="K184" s="1" t="str">
        <f>VLOOKUP(J184,'IU Major Match'!$D$2:$E$65,2,FALSE)</f>
        <v xml:space="preserve">Major exists in IU </v>
      </c>
      <c r="L184" s="1">
        <v>81219425</v>
      </c>
      <c r="M184" s="1" t="s">
        <v>113</v>
      </c>
      <c r="N184" s="11">
        <v>99</v>
      </c>
      <c r="O184" s="11">
        <v>60</v>
      </c>
      <c r="P184" s="11">
        <v>15</v>
      </c>
      <c r="Q184" s="11">
        <v>24</v>
      </c>
      <c r="R184" s="5">
        <f t="shared" si="8"/>
        <v>0.75757575757575757</v>
      </c>
      <c r="S184" s="13" t="str">
        <f t="shared" si="9"/>
        <v>&gt;50</v>
      </c>
      <c r="T184" s="14">
        <f t="shared" si="10"/>
        <v>2</v>
      </c>
      <c r="U184" s="14">
        <f t="shared" si="11"/>
        <v>1</v>
      </c>
    </row>
    <row r="185" spans="1:21" x14ac:dyDescent="0.25">
      <c r="A185" s="1">
        <v>62510023</v>
      </c>
      <c r="B185" s="1">
        <v>217971</v>
      </c>
      <c r="C185" s="1" t="s">
        <v>119</v>
      </c>
      <c r="D185" s="1" t="s">
        <v>503</v>
      </c>
      <c r="E185" s="1" t="s">
        <v>166</v>
      </c>
      <c r="F185" s="1" t="s">
        <v>76</v>
      </c>
      <c r="G185" s="1" t="s">
        <v>93</v>
      </c>
      <c r="H185" s="1" t="s">
        <v>19</v>
      </c>
      <c r="I185" s="1" t="s">
        <v>138</v>
      </c>
      <c r="J185" s="1" t="s">
        <v>139</v>
      </c>
      <c r="K185" s="1" t="str">
        <f>VLOOKUP(J185,'IU Major Match'!$D$2:$E$65,2,FALSE)</f>
        <v xml:space="preserve">Major exists in IU </v>
      </c>
      <c r="L185" s="1">
        <v>71761516</v>
      </c>
      <c r="M185" s="1" t="s">
        <v>242</v>
      </c>
      <c r="N185" s="11">
        <v>99</v>
      </c>
      <c r="O185" s="11">
        <v>9</v>
      </c>
      <c r="P185" s="11">
        <v>12</v>
      </c>
      <c r="Q185" s="11">
        <v>78</v>
      </c>
      <c r="R185" s="5">
        <f t="shared" si="8"/>
        <v>0.21212121212121213</v>
      </c>
      <c r="S185" s="13" t="str">
        <f t="shared" si="9"/>
        <v>=&lt;50</v>
      </c>
      <c r="T185" s="14">
        <f t="shared" si="10"/>
        <v>6</v>
      </c>
      <c r="U185" s="14">
        <f t="shared" si="11"/>
        <v>3</v>
      </c>
    </row>
    <row r="186" spans="1:21" x14ac:dyDescent="0.25">
      <c r="A186" s="1">
        <v>62430041</v>
      </c>
      <c r="B186" s="1">
        <v>209483</v>
      </c>
      <c r="C186" s="1" t="s">
        <v>119</v>
      </c>
      <c r="D186" s="1" t="s">
        <v>504</v>
      </c>
      <c r="E186" s="1" t="s">
        <v>505</v>
      </c>
      <c r="F186" s="1" t="s">
        <v>76</v>
      </c>
      <c r="G186" s="1" t="s">
        <v>18</v>
      </c>
      <c r="H186" s="1" t="s">
        <v>19</v>
      </c>
      <c r="I186" s="1" t="s">
        <v>82</v>
      </c>
      <c r="J186" s="1" t="s">
        <v>83</v>
      </c>
      <c r="K186" s="1" t="str">
        <f>VLOOKUP(J186,'IU Major Match'!$D$2:$E$65,2,FALSE)</f>
        <v>Can be Transferred to Bachelor of Engineering</v>
      </c>
      <c r="L186" s="1">
        <v>79197769</v>
      </c>
      <c r="M186" s="1" t="s">
        <v>113</v>
      </c>
      <c r="N186" s="11">
        <v>108</v>
      </c>
      <c r="O186" s="11">
        <v>9</v>
      </c>
      <c r="P186" s="11">
        <v>13</v>
      </c>
      <c r="Q186" s="11">
        <v>93</v>
      </c>
      <c r="R186" s="5">
        <f t="shared" si="8"/>
        <v>0.20370370370370369</v>
      </c>
      <c r="S186" s="13" t="str">
        <f t="shared" si="9"/>
        <v>=&lt;50</v>
      </c>
      <c r="T186" s="14">
        <f t="shared" si="10"/>
        <v>7</v>
      </c>
      <c r="U186" s="14">
        <f t="shared" si="11"/>
        <v>3.5</v>
      </c>
    </row>
    <row r="187" spans="1:21" x14ac:dyDescent="0.25">
      <c r="A187" s="1">
        <v>62430078</v>
      </c>
      <c r="B187" s="1">
        <v>209738</v>
      </c>
      <c r="C187" s="1" t="s">
        <v>119</v>
      </c>
      <c r="D187" s="1" t="s">
        <v>506</v>
      </c>
      <c r="E187" s="1" t="s">
        <v>507</v>
      </c>
      <c r="F187" s="1" t="s">
        <v>76</v>
      </c>
      <c r="G187" s="1" t="s">
        <v>18</v>
      </c>
      <c r="H187" s="1" t="s">
        <v>19</v>
      </c>
      <c r="I187" s="1" t="s">
        <v>164</v>
      </c>
      <c r="J187" s="1" t="s">
        <v>165</v>
      </c>
      <c r="K187" s="1" t="str">
        <f>VLOOKUP(J187,'IU Major Match'!$D$2:$E$65,2,FALSE)</f>
        <v>Can be Transferred to Bachelor of Engineering</v>
      </c>
      <c r="L187" s="1">
        <v>96181614445</v>
      </c>
      <c r="M187" s="1" t="s">
        <v>113</v>
      </c>
      <c r="N187" s="11">
        <v>108</v>
      </c>
      <c r="O187" s="11">
        <v>22</v>
      </c>
      <c r="P187" s="11">
        <v>13</v>
      </c>
      <c r="Q187" s="11">
        <v>73</v>
      </c>
      <c r="R187" s="5">
        <f t="shared" si="8"/>
        <v>0.32407407407407407</v>
      </c>
      <c r="S187" s="13" t="str">
        <f t="shared" si="9"/>
        <v>=&lt;50</v>
      </c>
      <c r="T187" s="14">
        <f t="shared" si="10"/>
        <v>5</v>
      </c>
      <c r="U187" s="14">
        <f t="shared" si="11"/>
        <v>2.5</v>
      </c>
    </row>
    <row r="188" spans="1:21" x14ac:dyDescent="0.25">
      <c r="A188" s="1">
        <v>62230341</v>
      </c>
      <c r="B188" s="1">
        <v>191046</v>
      </c>
      <c r="C188" s="1" t="s">
        <v>119</v>
      </c>
      <c r="D188" s="1" t="s">
        <v>364</v>
      </c>
      <c r="E188" s="1" t="s">
        <v>399</v>
      </c>
      <c r="F188" s="1" t="s">
        <v>76</v>
      </c>
      <c r="G188" s="1" t="s">
        <v>93</v>
      </c>
      <c r="H188" s="1" t="s">
        <v>19</v>
      </c>
      <c r="I188" s="1" t="s">
        <v>111</v>
      </c>
      <c r="J188" s="1" t="s">
        <v>112</v>
      </c>
      <c r="K188" s="1" t="str">
        <f>VLOOKUP(J188,'IU Major Match'!$D$2:$E$65,2,FALSE)</f>
        <v xml:space="preserve">Major exists in IU </v>
      </c>
      <c r="L188" s="1">
        <v>76139108</v>
      </c>
      <c r="M188" s="1" t="s">
        <v>153</v>
      </c>
      <c r="N188" s="11">
        <v>99</v>
      </c>
      <c r="O188" s="11">
        <v>84</v>
      </c>
      <c r="P188" s="11">
        <v>15</v>
      </c>
      <c r="Q188" s="11">
        <v>0</v>
      </c>
      <c r="R188" s="5">
        <f t="shared" si="8"/>
        <v>1</v>
      </c>
      <c r="S188" s="13" t="str">
        <f t="shared" si="9"/>
        <v>&gt;50</v>
      </c>
      <c r="T188" s="14">
        <f t="shared" si="10"/>
        <v>0</v>
      </c>
      <c r="U188" s="14">
        <f t="shared" si="11"/>
        <v>0</v>
      </c>
    </row>
    <row r="189" spans="1:21" x14ac:dyDescent="0.25">
      <c r="A189" s="1">
        <v>62430165</v>
      </c>
      <c r="B189" s="1">
        <v>214321</v>
      </c>
      <c r="C189" s="1" t="s">
        <v>190</v>
      </c>
      <c r="D189" s="1" t="s">
        <v>80</v>
      </c>
      <c r="E189" s="1" t="s">
        <v>508</v>
      </c>
      <c r="F189" s="1" t="s">
        <v>76</v>
      </c>
      <c r="G189" s="1" t="s">
        <v>93</v>
      </c>
      <c r="H189" s="1" t="s">
        <v>19</v>
      </c>
      <c r="I189" s="1" t="s">
        <v>111</v>
      </c>
      <c r="J189" s="1" t="s">
        <v>112</v>
      </c>
      <c r="K189" s="1" t="str">
        <f>VLOOKUP(J189,'IU Major Match'!$D$2:$E$65,2,FALSE)</f>
        <v xml:space="preserve">Major exists in IU </v>
      </c>
      <c r="L189" s="1">
        <v>96170573949</v>
      </c>
      <c r="M189" s="1" t="s">
        <v>113</v>
      </c>
      <c r="N189" s="11">
        <v>99</v>
      </c>
      <c r="O189" s="11">
        <v>9</v>
      </c>
      <c r="P189" s="11">
        <v>12</v>
      </c>
      <c r="Q189" s="11">
        <v>78</v>
      </c>
      <c r="R189" s="5">
        <f t="shared" si="8"/>
        <v>0.21212121212121213</v>
      </c>
      <c r="S189" s="13" t="str">
        <f t="shared" si="9"/>
        <v>=&lt;50</v>
      </c>
      <c r="T189" s="14">
        <f t="shared" si="10"/>
        <v>6</v>
      </c>
      <c r="U189" s="14">
        <f t="shared" si="11"/>
        <v>3</v>
      </c>
    </row>
    <row r="190" spans="1:21" x14ac:dyDescent="0.25">
      <c r="A190" s="1">
        <v>61930258</v>
      </c>
      <c r="B190" s="1">
        <v>144549</v>
      </c>
      <c r="C190" s="1" t="s">
        <v>190</v>
      </c>
      <c r="D190" s="1" t="s">
        <v>509</v>
      </c>
      <c r="E190" s="1" t="s">
        <v>510</v>
      </c>
      <c r="F190" s="1" t="s">
        <v>76</v>
      </c>
      <c r="G190" s="1" t="s">
        <v>18</v>
      </c>
      <c r="H190" s="1" t="s">
        <v>19</v>
      </c>
      <c r="I190" s="1" t="s">
        <v>164</v>
      </c>
      <c r="J190" s="1" t="s">
        <v>165</v>
      </c>
      <c r="K190" s="1" t="str">
        <f>VLOOKUP(J190,'IU Major Match'!$D$2:$E$65,2,FALSE)</f>
        <v>Can be Transferred to Bachelor of Engineering</v>
      </c>
      <c r="L190" s="1">
        <v>79126344</v>
      </c>
      <c r="M190" s="1" t="s">
        <v>205</v>
      </c>
      <c r="N190" s="11">
        <v>108</v>
      </c>
      <c r="O190" s="11">
        <v>56</v>
      </c>
      <c r="P190" s="11">
        <v>3</v>
      </c>
      <c r="Q190" s="11">
        <v>49</v>
      </c>
      <c r="R190" s="5">
        <f t="shared" si="8"/>
        <v>0.54629629629629628</v>
      </c>
      <c r="S190" s="13" t="str">
        <f t="shared" si="9"/>
        <v>&gt;50</v>
      </c>
      <c r="T190" s="14">
        <f t="shared" si="10"/>
        <v>4</v>
      </c>
      <c r="U190" s="14">
        <f t="shared" si="11"/>
        <v>2</v>
      </c>
    </row>
    <row r="191" spans="1:21" x14ac:dyDescent="0.25">
      <c r="A191" s="1">
        <v>62430115</v>
      </c>
      <c r="B191" s="1">
        <v>210665</v>
      </c>
      <c r="C191" s="1" t="s">
        <v>190</v>
      </c>
      <c r="D191" s="1" t="s">
        <v>367</v>
      </c>
      <c r="E191" s="1" t="s">
        <v>511</v>
      </c>
      <c r="F191" s="1" t="s">
        <v>76</v>
      </c>
      <c r="G191" s="1" t="s">
        <v>93</v>
      </c>
      <c r="H191" s="1" t="s">
        <v>19</v>
      </c>
      <c r="I191" s="1" t="s">
        <v>111</v>
      </c>
      <c r="J191" s="1" t="s">
        <v>112</v>
      </c>
      <c r="K191" s="1" t="str">
        <f>VLOOKUP(J191,'IU Major Match'!$D$2:$E$65,2,FALSE)</f>
        <v xml:space="preserve">Major exists in IU </v>
      </c>
      <c r="L191" s="1">
        <v>96170888405</v>
      </c>
      <c r="M191" s="1" t="s">
        <v>113</v>
      </c>
      <c r="N191" s="11">
        <v>99</v>
      </c>
      <c r="O191" s="11">
        <v>27</v>
      </c>
      <c r="P191" s="11">
        <v>15</v>
      </c>
      <c r="Q191" s="11">
        <v>57</v>
      </c>
      <c r="R191" s="5">
        <f t="shared" si="8"/>
        <v>0.42424242424242425</v>
      </c>
      <c r="S191" s="13" t="str">
        <f t="shared" si="9"/>
        <v>=&lt;50</v>
      </c>
      <c r="T191" s="14">
        <f t="shared" si="10"/>
        <v>4</v>
      </c>
      <c r="U191" s="14">
        <f t="shared" si="11"/>
        <v>2</v>
      </c>
    </row>
    <row r="192" spans="1:21" x14ac:dyDescent="0.25">
      <c r="A192" s="1">
        <v>62530257</v>
      </c>
      <c r="B192" s="1">
        <v>225291</v>
      </c>
      <c r="C192" s="1" t="s">
        <v>190</v>
      </c>
      <c r="D192" s="1" t="s">
        <v>256</v>
      </c>
      <c r="E192" s="1" t="s">
        <v>512</v>
      </c>
      <c r="F192" s="1" t="s">
        <v>76</v>
      </c>
      <c r="G192" s="1" t="s">
        <v>23</v>
      </c>
      <c r="H192" s="1" t="s">
        <v>19</v>
      </c>
      <c r="I192" s="1" t="s">
        <v>397</v>
      </c>
      <c r="J192" s="1" t="s">
        <v>398</v>
      </c>
      <c r="K192" s="1" t="str">
        <f>VLOOKUP(J192,'IU Major Match'!$D$2:$E$65,2,FALSE)</f>
        <v xml:space="preserve">Major exists in IU </v>
      </c>
      <c r="L192" s="1">
        <v>70481560</v>
      </c>
      <c r="M192" s="1" t="s">
        <v>99</v>
      </c>
      <c r="N192" s="11">
        <v>99</v>
      </c>
      <c r="O192" s="11">
        <v>3</v>
      </c>
      <c r="P192" s="11">
        <v>18</v>
      </c>
      <c r="Q192" s="11">
        <v>79</v>
      </c>
      <c r="R192" s="5">
        <f t="shared" si="8"/>
        <v>0.21212121212121213</v>
      </c>
      <c r="S192" s="13" t="str">
        <f t="shared" si="9"/>
        <v>=&lt;50</v>
      </c>
      <c r="T192" s="14">
        <f t="shared" si="10"/>
        <v>6</v>
      </c>
      <c r="U192" s="14">
        <f t="shared" si="11"/>
        <v>3</v>
      </c>
    </row>
    <row r="193" spans="1:21" x14ac:dyDescent="0.25">
      <c r="A193" s="1">
        <v>62430332</v>
      </c>
      <c r="B193" s="1">
        <v>217174</v>
      </c>
      <c r="C193" s="1" t="s">
        <v>190</v>
      </c>
      <c r="D193" s="1" t="s">
        <v>513</v>
      </c>
      <c r="E193" s="1" t="s">
        <v>514</v>
      </c>
      <c r="F193" s="1" t="s">
        <v>76</v>
      </c>
      <c r="G193" s="1" t="s">
        <v>23</v>
      </c>
      <c r="H193" s="1" t="s">
        <v>19</v>
      </c>
      <c r="I193" s="1" t="s">
        <v>103</v>
      </c>
      <c r="J193" s="1" t="s">
        <v>104</v>
      </c>
      <c r="K193" s="1" t="str">
        <f>VLOOKUP(J193,'IU Major Match'!$D$2:$E$65,2,FALSE)</f>
        <v xml:space="preserve">Major exists in IU </v>
      </c>
      <c r="L193" s="1">
        <v>70279907</v>
      </c>
      <c r="M193" s="1" t="s">
        <v>113</v>
      </c>
      <c r="N193" s="11">
        <v>100</v>
      </c>
      <c r="O193" s="11">
        <v>75</v>
      </c>
      <c r="P193" s="11">
        <v>13</v>
      </c>
      <c r="Q193" s="11">
        <v>12</v>
      </c>
      <c r="R193" s="5">
        <f t="shared" si="8"/>
        <v>0.88</v>
      </c>
      <c r="S193" s="13" t="str">
        <f t="shared" si="9"/>
        <v>&gt;50</v>
      </c>
      <c r="T193" s="14">
        <f t="shared" si="10"/>
        <v>1</v>
      </c>
      <c r="U193" s="14">
        <f t="shared" si="11"/>
        <v>0.5</v>
      </c>
    </row>
    <row r="194" spans="1:21" x14ac:dyDescent="0.25">
      <c r="A194" s="1">
        <v>62530278</v>
      </c>
      <c r="B194" s="1">
        <v>226795</v>
      </c>
      <c r="C194" s="1" t="s">
        <v>190</v>
      </c>
      <c r="D194" s="1" t="s">
        <v>214</v>
      </c>
      <c r="E194" s="1" t="s">
        <v>515</v>
      </c>
      <c r="F194" s="1" t="s">
        <v>76</v>
      </c>
      <c r="G194" s="1" t="s">
        <v>18</v>
      </c>
      <c r="H194" s="1" t="s">
        <v>19</v>
      </c>
      <c r="I194" s="1" t="s">
        <v>164</v>
      </c>
      <c r="J194" s="1" t="s">
        <v>165</v>
      </c>
      <c r="K194" s="1" t="str">
        <f>VLOOKUP(J194,'IU Major Match'!$D$2:$E$65,2,FALSE)</f>
        <v>Can be Transferred to Bachelor of Engineering</v>
      </c>
      <c r="L194" s="1">
        <v>96178998102</v>
      </c>
      <c r="M194" s="1" t="s">
        <v>99</v>
      </c>
      <c r="N194" s="11">
        <v>108</v>
      </c>
      <c r="O194" s="11">
        <v>3</v>
      </c>
      <c r="P194" s="11">
        <v>13</v>
      </c>
      <c r="Q194" s="11">
        <v>103</v>
      </c>
      <c r="R194" s="5">
        <f t="shared" si="8"/>
        <v>0.14814814814814814</v>
      </c>
      <c r="S194" s="13" t="str">
        <f t="shared" si="9"/>
        <v>=&lt;50</v>
      </c>
      <c r="T194" s="14">
        <f t="shared" si="10"/>
        <v>7</v>
      </c>
      <c r="U194" s="14">
        <f t="shared" si="11"/>
        <v>3.5</v>
      </c>
    </row>
    <row r="195" spans="1:21" x14ac:dyDescent="0.25">
      <c r="A195" s="1">
        <v>62130345</v>
      </c>
      <c r="B195" s="1">
        <v>176111</v>
      </c>
      <c r="C195" s="1" t="s">
        <v>190</v>
      </c>
      <c r="D195" s="1" t="s">
        <v>516</v>
      </c>
      <c r="E195" s="1" t="s">
        <v>516</v>
      </c>
      <c r="F195" s="1" t="s">
        <v>76</v>
      </c>
      <c r="G195" s="1" t="s">
        <v>18</v>
      </c>
      <c r="H195" s="1" t="s">
        <v>19</v>
      </c>
      <c r="I195" s="1" t="s">
        <v>302</v>
      </c>
      <c r="J195" s="1" t="s">
        <v>303</v>
      </c>
      <c r="K195" s="1" t="str">
        <f>VLOOKUP(J195,'IU Major Match'!$D$2:$E$65,2,FALSE)</f>
        <v>Can be Transferred to Bachelor of Engineering</v>
      </c>
      <c r="L195" s="1">
        <v>76313696</v>
      </c>
      <c r="M195" s="1" t="s">
        <v>79</v>
      </c>
      <c r="N195" s="11">
        <v>108</v>
      </c>
      <c r="O195" s="11">
        <v>35</v>
      </c>
      <c r="P195" s="11">
        <v>12</v>
      </c>
      <c r="Q195" s="11">
        <v>61</v>
      </c>
      <c r="R195" s="5">
        <f t="shared" ref="R195:R258" si="12">(O195+P195)/N195</f>
        <v>0.43518518518518517</v>
      </c>
      <c r="S195" s="13" t="str">
        <f t="shared" ref="S195:S258" si="13">IF(R195&lt;=50%,"=&lt;50","&gt;50")</f>
        <v>=&lt;50</v>
      </c>
      <c r="T195" s="14">
        <f t="shared" ref="T195:T258" si="14">ROUNDUP(Q195/15,0)</f>
        <v>5</v>
      </c>
      <c r="U195" s="14">
        <f t="shared" ref="U195:U258" si="15">T195/2</f>
        <v>2.5</v>
      </c>
    </row>
    <row r="196" spans="1:21" x14ac:dyDescent="0.25">
      <c r="A196" s="1">
        <v>62330075</v>
      </c>
      <c r="B196" s="1">
        <v>199057</v>
      </c>
      <c r="C196" s="1" t="s">
        <v>190</v>
      </c>
      <c r="D196" s="1" t="s">
        <v>383</v>
      </c>
      <c r="E196" s="1" t="s">
        <v>517</v>
      </c>
      <c r="F196" s="1" t="s">
        <v>76</v>
      </c>
      <c r="G196" s="1" t="s">
        <v>93</v>
      </c>
      <c r="H196" s="1" t="s">
        <v>19</v>
      </c>
      <c r="I196" s="1" t="s">
        <v>107</v>
      </c>
      <c r="J196" s="1" t="s">
        <v>108</v>
      </c>
      <c r="K196" s="1" t="str">
        <f>VLOOKUP(J196,'IU Major Match'!$D$2:$E$65,2,FALSE)</f>
        <v xml:space="preserve">Major exists in IU </v>
      </c>
      <c r="L196" s="1">
        <v>96176592101</v>
      </c>
      <c r="M196" s="1" t="s">
        <v>90</v>
      </c>
      <c r="N196" s="11">
        <v>99</v>
      </c>
      <c r="O196" s="11">
        <v>84</v>
      </c>
      <c r="P196" s="11">
        <v>15</v>
      </c>
      <c r="Q196" s="11">
        <v>0</v>
      </c>
      <c r="R196" s="5">
        <f t="shared" si="12"/>
        <v>1</v>
      </c>
      <c r="S196" s="13" t="str">
        <f t="shared" si="13"/>
        <v>&gt;50</v>
      </c>
      <c r="T196" s="14">
        <f t="shared" si="14"/>
        <v>0</v>
      </c>
      <c r="U196" s="14">
        <f t="shared" si="15"/>
        <v>0</v>
      </c>
    </row>
    <row r="197" spans="1:21" x14ac:dyDescent="0.25">
      <c r="A197" s="1">
        <v>62330201</v>
      </c>
      <c r="B197" s="1">
        <v>202571</v>
      </c>
      <c r="C197" s="1" t="s">
        <v>190</v>
      </c>
      <c r="D197" s="1" t="s">
        <v>518</v>
      </c>
      <c r="E197" s="1" t="s">
        <v>519</v>
      </c>
      <c r="F197" s="1" t="s">
        <v>76</v>
      </c>
      <c r="G197" s="1" t="s">
        <v>93</v>
      </c>
      <c r="H197" s="1" t="s">
        <v>19</v>
      </c>
      <c r="I197" s="1" t="s">
        <v>124</v>
      </c>
      <c r="J197" s="1" t="s">
        <v>125</v>
      </c>
      <c r="K197" s="1" t="str">
        <f>VLOOKUP(J197,'IU Major Match'!$D$2:$E$65,2,FALSE)</f>
        <v xml:space="preserve">Major exists in IU </v>
      </c>
      <c r="L197" s="1">
        <v>96179119863</v>
      </c>
      <c r="M197" s="1" t="s">
        <v>90</v>
      </c>
      <c r="N197" s="11">
        <v>99</v>
      </c>
      <c r="O197" s="11">
        <v>18</v>
      </c>
      <c r="P197" s="11">
        <v>15</v>
      </c>
      <c r="Q197" s="11">
        <v>66</v>
      </c>
      <c r="R197" s="5">
        <f t="shared" si="12"/>
        <v>0.33333333333333331</v>
      </c>
      <c r="S197" s="13" t="str">
        <f t="shared" si="13"/>
        <v>=&lt;50</v>
      </c>
      <c r="T197" s="14">
        <f t="shared" si="14"/>
        <v>5</v>
      </c>
      <c r="U197" s="14">
        <f t="shared" si="15"/>
        <v>2.5</v>
      </c>
    </row>
    <row r="198" spans="1:21" x14ac:dyDescent="0.25">
      <c r="A198" s="1">
        <v>62330368</v>
      </c>
      <c r="B198" s="1">
        <v>226857</v>
      </c>
      <c r="C198" s="1" t="s">
        <v>190</v>
      </c>
      <c r="D198" s="1" t="s">
        <v>261</v>
      </c>
      <c r="E198" s="1" t="s">
        <v>520</v>
      </c>
      <c r="F198" s="1" t="s">
        <v>76</v>
      </c>
      <c r="G198" s="1" t="s">
        <v>93</v>
      </c>
      <c r="H198" s="1" t="s">
        <v>19</v>
      </c>
      <c r="I198" s="1" t="s">
        <v>349</v>
      </c>
      <c r="J198" s="1" t="s">
        <v>350</v>
      </c>
      <c r="K198" s="1" t="str">
        <f>VLOOKUP(J198,'IU Major Match'!$D$2:$E$65,2,FALSE)</f>
        <v xml:space="preserve">Major exists in IU </v>
      </c>
      <c r="L198" s="1">
        <v>81160931</v>
      </c>
      <c r="M198" s="1" t="s">
        <v>99</v>
      </c>
      <c r="N198" s="11">
        <v>99</v>
      </c>
      <c r="O198" s="11">
        <v>3</v>
      </c>
      <c r="P198" s="11">
        <v>12</v>
      </c>
      <c r="Q198" s="11">
        <v>3</v>
      </c>
      <c r="R198" s="5">
        <f t="shared" si="12"/>
        <v>0.15151515151515152</v>
      </c>
      <c r="S198" s="13" t="str">
        <f t="shared" si="13"/>
        <v>=&lt;50</v>
      </c>
      <c r="T198" s="14">
        <f t="shared" si="14"/>
        <v>1</v>
      </c>
      <c r="U198" s="14">
        <f t="shared" si="15"/>
        <v>0.5</v>
      </c>
    </row>
    <row r="199" spans="1:21" x14ac:dyDescent="0.25">
      <c r="A199" s="1">
        <v>62330168</v>
      </c>
      <c r="B199" s="1">
        <v>200572</v>
      </c>
      <c r="C199" s="1" t="s">
        <v>190</v>
      </c>
      <c r="D199" s="1" t="s">
        <v>129</v>
      </c>
      <c r="E199" s="1" t="s">
        <v>399</v>
      </c>
      <c r="F199" s="1" t="s">
        <v>76</v>
      </c>
      <c r="G199" s="1" t="s">
        <v>93</v>
      </c>
      <c r="H199" s="1" t="s">
        <v>19</v>
      </c>
      <c r="I199" s="1" t="s">
        <v>107</v>
      </c>
      <c r="J199" s="1" t="s">
        <v>108</v>
      </c>
      <c r="K199" s="1" t="str">
        <f>VLOOKUP(J199,'IU Major Match'!$D$2:$E$65,2,FALSE)</f>
        <v xml:space="preserve">Major exists in IU </v>
      </c>
      <c r="L199" s="1">
        <v>3188097</v>
      </c>
      <c r="M199" s="1" t="s">
        <v>90</v>
      </c>
      <c r="N199" s="11">
        <v>99</v>
      </c>
      <c r="O199" s="11">
        <v>57</v>
      </c>
      <c r="P199" s="11">
        <v>12</v>
      </c>
      <c r="Q199" s="11">
        <v>30</v>
      </c>
      <c r="R199" s="5">
        <f t="shared" si="12"/>
        <v>0.69696969696969702</v>
      </c>
      <c r="S199" s="13" t="str">
        <f t="shared" si="13"/>
        <v>&gt;50</v>
      </c>
      <c r="T199" s="14">
        <f t="shared" si="14"/>
        <v>2</v>
      </c>
      <c r="U199" s="14">
        <f t="shared" si="15"/>
        <v>1</v>
      </c>
    </row>
    <row r="200" spans="1:21" x14ac:dyDescent="0.25">
      <c r="A200" s="1">
        <v>62330084</v>
      </c>
      <c r="B200" s="1">
        <v>199857</v>
      </c>
      <c r="C200" s="1" t="s">
        <v>190</v>
      </c>
      <c r="D200" s="1" t="s">
        <v>521</v>
      </c>
      <c r="E200" s="1" t="s">
        <v>399</v>
      </c>
      <c r="F200" s="1" t="s">
        <v>76</v>
      </c>
      <c r="G200" s="1" t="s">
        <v>93</v>
      </c>
      <c r="H200" s="1" t="s">
        <v>19</v>
      </c>
      <c r="I200" s="1" t="s">
        <v>107</v>
      </c>
      <c r="J200" s="1" t="s">
        <v>108</v>
      </c>
      <c r="K200" s="1" t="str">
        <f>VLOOKUP(J200,'IU Major Match'!$D$2:$E$65,2,FALSE)</f>
        <v xml:space="preserve">Major exists in IU </v>
      </c>
      <c r="L200" s="1">
        <v>70299086</v>
      </c>
      <c r="M200" s="1" t="s">
        <v>90</v>
      </c>
      <c r="N200" s="11">
        <v>99</v>
      </c>
      <c r="O200" s="11">
        <v>39</v>
      </c>
      <c r="P200" s="11">
        <v>9</v>
      </c>
      <c r="Q200" s="11">
        <v>51</v>
      </c>
      <c r="R200" s="5">
        <f t="shared" si="12"/>
        <v>0.48484848484848486</v>
      </c>
      <c r="S200" s="13" t="str">
        <f t="shared" si="13"/>
        <v>=&lt;50</v>
      </c>
      <c r="T200" s="14">
        <f t="shared" si="14"/>
        <v>4</v>
      </c>
      <c r="U200" s="14">
        <f t="shared" si="15"/>
        <v>2</v>
      </c>
    </row>
    <row r="201" spans="1:21" x14ac:dyDescent="0.25">
      <c r="A201" s="1">
        <v>62510006</v>
      </c>
      <c r="B201" s="1">
        <v>217806</v>
      </c>
      <c r="C201" s="1" t="s">
        <v>522</v>
      </c>
      <c r="D201" s="1" t="s">
        <v>523</v>
      </c>
      <c r="E201" s="1" t="s">
        <v>524</v>
      </c>
      <c r="F201" s="1" t="s">
        <v>76</v>
      </c>
      <c r="G201" s="1" t="s">
        <v>18</v>
      </c>
      <c r="H201" s="1" t="s">
        <v>19</v>
      </c>
      <c r="I201" s="1" t="s">
        <v>82</v>
      </c>
      <c r="J201" s="1" t="s">
        <v>83</v>
      </c>
      <c r="K201" s="1" t="str">
        <f>VLOOKUP(J201,'IU Major Match'!$D$2:$E$65,2,FALSE)</f>
        <v>Can be Transferred to Bachelor of Engineering</v>
      </c>
      <c r="L201" s="1">
        <v>96170838068</v>
      </c>
      <c r="M201" s="1" t="s">
        <v>242</v>
      </c>
      <c r="N201" s="11">
        <v>108</v>
      </c>
      <c r="O201" s="11">
        <v>28</v>
      </c>
      <c r="P201" s="11">
        <v>18</v>
      </c>
      <c r="Q201" s="11">
        <v>62</v>
      </c>
      <c r="R201" s="5">
        <f t="shared" si="12"/>
        <v>0.42592592592592593</v>
      </c>
      <c r="S201" s="13" t="str">
        <f t="shared" si="13"/>
        <v>=&lt;50</v>
      </c>
      <c r="T201" s="14">
        <f t="shared" si="14"/>
        <v>5</v>
      </c>
      <c r="U201" s="14">
        <f t="shared" si="15"/>
        <v>2.5</v>
      </c>
    </row>
    <row r="202" spans="1:21" x14ac:dyDescent="0.25">
      <c r="A202" s="1">
        <v>62530280</v>
      </c>
      <c r="B202" s="1">
        <v>226801</v>
      </c>
      <c r="C202" s="1" t="s">
        <v>522</v>
      </c>
      <c r="D202" s="1" t="s">
        <v>261</v>
      </c>
      <c r="E202" s="1" t="s">
        <v>71</v>
      </c>
      <c r="F202" s="1" t="s">
        <v>76</v>
      </c>
      <c r="G202" s="1" t="s">
        <v>23</v>
      </c>
      <c r="H202" s="1" t="s">
        <v>19</v>
      </c>
      <c r="I202" s="1" t="s">
        <v>397</v>
      </c>
      <c r="J202" s="1" t="s">
        <v>398</v>
      </c>
      <c r="K202" s="1" t="str">
        <f>VLOOKUP(J202,'IU Major Match'!$D$2:$E$65,2,FALSE)</f>
        <v xml:space="preserve">Major exists in IU </v>
      </c>
      <c r="L202" s="1">
        <v>3407432</v>
      </c>
      <c r="M202" s="1" t="s">
        <v>99</v>
      </c>
      <c r="N202" s="11">
        <v>99</v>
      </c>
      <c r="O202" s="11">
        <v>0</v>
      </c>
      <c r="P202" s="11">
        <v>8</v>
      </c>
      <c r="Q202" s="11">
        <v>103</v>
      </c>
      <c r="R202" s="5">
        <f t="shared" si="12"/>
        <v>8.0808080808080815E-2</v>
      </c>
      <c r="S202" s="13" t="str">
        <f t="shared" si="13"/>
        <v>=&lt;50</v>
      </c>
      <c r="T202" s="14">
        <f t="shared" si="14"/>
        <v>7</v>
      </c>
      <c r="U202" s="14">
        <f t="shared" si="15"/>
        <v>3.5</v>
      </c>
    </row>
    <row r="203" spans="1:21" x14ac:dyDescent="0.25">
      <c r="A203" s="1">
        <v>62530109</v>
      </c>
      <c r="B203" s="1">
        <v>220479</v>
      </c>
      <c r="C203" s="1" t="s">
        <v>522</v>
      </c>
      <c r="D203" s="1" t="s">
        <v>425</v>
      </c>
      <c r="E203" s="1" t="s">
        <v>204</v>
      </c>
      <c r="F203" s="1" t="s">
        <v>76</v>
      </c>
      <c r="G203" s="1" t="s">
        <v>93</v>
      </c>
      <c r="H203" s="1" t="s">
        <v>19</v>
      </c>
      <c r="I203" s="1" t="s">
        <v>124</v>
      </c>
      <c r="J203" s="1" t="s">
        <v>125</v>
      </c>
      <c r="K203" s="1" t="str">
        <f>VLOOKUP(J203,'IU Major Match'!$D$2:$E$65,2,FALSE)</f>
        <v xml:space="preserve">Major exists in IU </v>
      </c>
      <c r="L203" s="1">
        <v>76124182</v>
      </c>
      <c r="M203" s="1" t="s">
        <v>99</v>
      </c>
      <c r="N203" s="11">
        <v>99</v>
      </c>
      <c r="O203" s="11">
        <v>15</v>
      </c>
      <c r="P203" s="11">
        <v>15</v>
      </c>
      <c r="Q203" s="11">
        <v>69</v>
      </c>
      <c r="R203" s="5">
        <f t="shared" si="12"/>
        <v>0.30303030303030304</v>
      </c>
      <c r="S203" s="13" t="str">
        <f t="shared" si="13"/>
        <v>=&lt;50</v>
      </c>
      <c r="T203" s="14">
        <f t="shared" si="14"/>
        <v>5</v>
      </c>
      <c r="U203" s="14">
        <f t="shared" si="15"/>
        <v>2.5</v>
      </c>
    </row>
    <row r="204" spans="1:21" x14ac:dyDescent="0.25">
      <c r="A204" s="1">
        <v>62410004</v>
      </c>
      <c r="B204" s="1">
        <v>207958</v>
      </c>
      <c r="C204" s="1" t="s">
        <v>522</v>
      </c>
      <c r="D204" s="1" t="s">
        <v>494</v>
      </c>
      <c r="E204" s="1" t="s">
        <v>384</v>
      </c>
      <c r="F204" s="1" t="s">
        <v>76</v>
      </c>
      <c r="G204" s="1" t="s">
        <v>18</v>
      </c>
      <c r="H204" s="1" t="s">
        <v>19</v>
      </c>
      <c r="I204" s="1" t="s">
        <v>164</v>
      </c>
      <c r="J204" s="1" t="s">
        <v>165</v>
      </c>
      <c r="K204" s="1" t="str">
        <f>VLOOKUP(J204,'IU Major Match'!$D$2:$E$65,2,FALSE)</f>
        <v>Can be Transferred to Bachelor of Engineering</v>
      </c>
      <c r="L204" s="1">
        <v>96171330080</v>
      </c>
      <c r="M204" s="1" t="s">
        <v>362</v>
      </c>
      <c r="N204" s="11">
        <v>108</v>
      </c>
      <c r="O204" s="11">
        <v>47</v>
      </c>
      <c r="P204" s="11">
        <v>16</v>
      </c>
      <c r="Q204" s="11">
        <v>45</v>
      </c>
      <c r="R204" s="5">
        <f t="shared" si="12"/>
        <v>0.58333333333333337</v>
      </c>
      <c r="S204" s="13" t="str">
        <f t="shared" si="13"/>
        <v>&gt;50</v>
      </c>
      <c r="T204" s="14">
        <f t="shared" si="14"/>
        <v>3</v>
      </c>
      <c r="U204" s="14">
        <f t="shared" si="15"/>
        <v>1.5</v>
      </c>
    </row>
    <row r="205" spans="1:21" x14ac:dyDescent="0.25">
      <c r="A205" s="1">
        <v>62530037</v>
      </c>
      <c r="B205" s="1">
        <v>222142</v>
      </c>
      <c r="C205" s="1" t="s">
        <v>525</v>
      </c>
      <c r="D205" s="1" t="s">
        <v>140</v>
      </c>
      <c r="E205" s="1" t="s">
        <v>490</v>
      </c>
      <c r="F205" s="1" t="s">
        <v>76</v>
      </c>
      <c r="G205" s="1" t="s">
        <v>93</v>
      </c>
      <c r="H205" s="1" t="s">
        <v>19</v>
      </c>
      <c r="I205" s="1" t="s">
        <v>138</v>
      </c>
      <c r="J205" s="1" t="s">
        <v>139</v>
      </c>
      <c r="K205" s="1" t="str">
        <f>VLOOKUP(J205,'IU Major Match'!$D$2:$E$65,2,FALSE)</f>
        <v xml:space="preserve">Major exists in IU </v>
      </c>
      <c r="L205" s="1">
        <v>96178809236</v>
      </c>
      <c r="M205" s="1" t="s">
        <v>99</v>
      </c>
      <c r="N205" s="11">
        <v>99</v>
      </c>
      <c r="O205" s="11">
        <v>0</v>
      </c>
      <c r="P205" s="11">
        <v>13</v>
      </c>
      <c r="Q205" s="11">
        <v>94</v>
      </c>
      <c r="R205" s="5">
        <f t="shared" si="12"/>
        <v>0.13131313131313133</v>
      </c>
      <c r="S205" s="13" t="str">
        <f t="shared" si="13"/>
        <v>=&lt;50</v>
      </c>
      <c r="T205" s="14">
        <f t="shared" si="14"/>
        <v>7</v>
      </c>
      <c r="U205" s="14">
        <f t="shared" si="15"/>
        <v>3.5</v>
      </c>
    </row>
    <row r="206" spans="1:21" x14ac:dyDescent="0.25">
      <c r="A206" s="1">
        <v>62310018</v>
      </c>
      <c r="B206" s="1">
        <v>196953</v>
      </c>
      <c r="C206" s="1" t="s">
        <v>525</v>
      </c>
      <c r="D206" s="1" t="s">
        <v>198</v>
      </c>
      <c r="E206" s="1" t="s">
        <v>526</v>
      </c>
      <c r="F206" s="1" t="s">
        <v>76</v>
      </c>
      <c r="G206" s="1" t="s">
        <v>93</v>
      </c>
      <c r="H206" s="1" t="s">
        <v>19</v>
      </c>
      <c r="I206" s="1" t="s">
        <v>94</v>
      </c>
      <c r="J206" s="1" t="s">
        <v>95</v>
      </c>
      <c r="K206" s="1" t="str">
        <f>VLOOKUP(J206,'IU Major Match'!$D$2:$E$65,2,FALSE)</f>
        <v xml:space="preserve">Major exists in IU </v>
      </c>
      <c r="L206" s="1">
        <v>76491096</v>
      </c>
      <c r="M206" s="1" t="s">
        <v>178</v>
      </c>
      <c r="N206" s="11">
        <v>99</v>
      </c>
      <c r="O206" s="11">
        <v>57</v>
      </c>
      <c r="P206" s="11">
        <v>6</v>
      </c>
      <c r="Q206" s="11">
        <v>36</v>
      </c>
      <c r="R206" s="5">
        <f t="shared" si="12"/>
        <v>0.63636363636363635</v>
      </c>
      <c r="S206" s="13" t="str">
        <f t="shared" si="13"/>
        <v>&gt;50</v>
      </c>
      <c r="T206" s="14">
        <f t="shared" si="14"/>
        <v>3</v>
      </c>
      <c r="U206" s="14">
        <f t="shared" si="15"/>
        <v>1.5</v>
      </c>
    </row>
    <row r="207" spans="1:21" x14ac:dyDescent="0.25">
      <c r="A207" s="1">
        <v>62330144</v>
      </c>
      <c r="B207" s="1">
        <v>199819</v>
      </c>
      <c r="C207" s="1" t="s">
        <v>525</v>
      </c>
      <c r="D207" s="1" t="s">
        <v>527</v>
      </c>
      <c r="E207" s="1" t="s">
        <v>528</v>
      </c>
      <c r="F207" s="1" t="s">
        <v>76</v>
      </c>
      <c r="G207" s="1" t="s">
        <v>23</v>
      </c>
      <c r="H207" s="1" t="s">
        <v>19</v>
      </c>
      <c r="I207" s="1" t="s">
        <v>116</v>
      </c>
      <c r="J207" s="1" t="s">
        <v>117</v>
      </c>
      <c r="K207" s="1" t="str">
        <f>VLOOKUP(J207,'IU Major Match'!$D$2:$E$65,2,FALSE)</f>
        <v>Major Dont exists in IU</v>
      </c>
      <c r="L207" s="1">
        <v>81248201</v>
      </c>
      <c r="M207" s="1" t="s">
        <v>90</v>
      </c>
      <c r="N207" s="11">
        <v>99</v>
      </c>
      <c r="O207" s="11">
        <v>58</v>
      </c>
      <c r="P207" s="11">
        <v>13</v>
      </c>
      <c r="Q207" s="11">
        <v>28</v>
      </c>
      <c r="R207" s="5">
        <f t="shared" si="12"/>
        <v>0.71717171717171713</v>
      </c>
      <c r="S207" s="13" t="str">
        <f t="shared" si="13"/>
        <v>&gt;50</v>
      </c>
      <c r="T207" s="14">
        <f t="shared" si="14"/>
        <v>2</v>
      </c>
      <c r="U207" s="14">
        <f t="shared" si="15"/>
        <v>1</v>
      </c>
    </row>
    <row r="208" spans="1:21" x14ac:dyDescent="0.25">
      <c r="A208" s="1">
        <v>62430132</v>
      </c>
      <c r="B208" s="1">
        <v>213412</v>
      </c>
      <c r="C208" s="1" t="s">
        <v>529</v>
      </c>
      <c r="D208" s="1" t="s">
        <v>129</v>
      </c>
      <c r="E208" s="1" t="s">
        <v>530</v>
      </c>
      <c r="F208" s="1" t="s">
        <v>76</v>
      </c>
      <c r="G208" s="1" t="s">
        <v>18</v>
      </c>
      <c r="H208" s="1" t="s">
        <v>19</v>
      </c>
      <c r="I208" s="1" t="s">
        <v>146</v>
      </c>
      <c r="J208" s="1" t="s">
        <v>147</v>
      </c>
      <c r="K208" s="1" t="str">
        <f>VLOOKUP(J208,'IU Major Match'!$D$2:$E$65,2,FALSE)</f>
        <v>Can be Transferred to Bachelor of Engineering</v>
      </c>
      <c r="L208" s="1">
        <v>96178849500</v>
      </c>
      <c r="M208" s="1" t="s">
        <v>113</v>
      </c>
      <c r="N208" s="11">
        <v>108</v>
      </c>
      <c r="O208" s="11">
        <v>49</v>
      </c>
      <c r="P208" s="11">
        <v>13</v>
      </c>
      <c r="Q208" s="11">
        <v>46</v>
      </c>
      <c r="R208" s="5">
        <f t="shared" si="12"/>
        <v>0.57407407407407407</v>
      </c>
      <c r="S208" s="13" t="str">
        <f t="shared" si="13"/>
        <v>&gt;50</v>
      </c>
      <c r="T208" s="14">
        <f t="shared" si="14"/>
        <v>4</v>
      </c>
      <c r="U208" s="14">
        <f t="shared" si="15"/>
        <v>2</v>
      </c>
    </row>
    <row r="209" spans="1:21" x14ac:dyDescent="0.25">
      <c r="A209" s="1">
        <v>62530010</v>
      </c>
      <c r="B209" s="1">
        <v>224961</v>
      </c>
      <c r="C209" s="1" t="s">
        <v>531</v>
      </c>
      <c r="D209" s="1" t="s">
        <v>532</v>
      </c>
      <c r="E209" s="1" t="s">
        <v>43</v>
      </c>
      <c r="F209" s="1" t="s">
        <v>76</v>
      </c>
      <c r="G209" s="1" t="s">
        <v>200</v>
      </c>
      <c r="H209" s="1" t="s">
        <v>19</v>
      </c>
      <c r="I209" s="1" t="s">
        <v>201</v>
      </c>
      <c r="J209" s="1" t="s">
        <v>202</v>
      </c>
      <c r="K209" s="1" t="str">
        <f>VLOOKUP(J209,'IU Major Match'!$D$2:$E$65,2,FALSE)</f>
        <v>Major Dont exists in IU</v>
      </c>
      <c r="L209" s="1">
        <v>96171886589</v>
      </c>
      <c r="M209" s="1" t="s">
        <v>99</v>
      </c>
      <c r="N209" s="11">
        <v>65</v>
      </c>
      <c r="O209" s="11">
        <v>39</v>
      </c>
      <c r="P209" s="11">
        <v>18</v>
      </c>
      <c r="Q209" s="11">
        <v>8</v>
      </c>
      <c r="R209" s="5">
        <f t="shared" si="12"/>
        <v>0.87692307692307692</v>
      </c>
      <c r="S209" s="13" t="str">
        <f t="shared" si="13"/>
        <v>&gt;50</v>
      </c>
      <c r="T209" s="14">
        <f t="shared" si="14"/>
        <v>1</v>
      </c>
      <c r="U209" s="14">
        <f t="shared" si="15"/>
        <v>0.5</v>
      </c>
    </row>
    <row r="210" spans="1:21" x14ac:dyDescent="0.25">
      <c r="A210" s="1">
        <v>62430291</v>
      </c>
      <c r="B210" s="1">
        <v>215600</v>
      </c>
      <c r="C210" s="1" t="s">
        <v>533</v>
      </c>
      <c r="D210" s="1" t="s">
        <v>59</v>
      </c>
      <c r="E210" s="1" t="s">
        <v>534</v>
      </c>
      <c r="F210" s="1" t="s">
        <v>76</v>
      </c>
      <c r="G210" s="1" t="s">
        <v>23</v>
      </c>
      <c r="H210" s="1" t="s">
        <v>19</v>
      </c>
      <c r="I210" s="1" t="s">
        <v>116</v>
      </c>
      <c r="J210" s="1" t="s">
        <v>117</v>
      </c>
      <c r="K210" s="1" t="str">
        <f>VLOOKUP(J210,'IU Major Match'!$D$2:$E$65,2,FALSE)</f>
        <v>Major Dont exists in IU</v>
      </c>
      <c r="L210" s="1">
        <v>96176731007</v>
      </c>
      <c r="M210" s="1" t="s">
        <v>113</v>
      </c>
      <c r="N210" s="11">
        <v>99</v>
      </c>
      <c r="O210" s="11">
        <v>48</v>
      </c>
      <c r="P210" s="11">
        <v>15</v>
      </c>
      <c r="Q210" s="11">
        <v>36</v>
      </c>
      <c r="R210" s="5">
        <f t="shared" si="12"/>
        <v>0.63636363636363635</v>
      </c>
      <c r="S210" s="13" t="str">
        <f t="shared" si="13"/>
        <v>&gt;50</v>
      </c>
      <c r="T210" s="14">
        <f t="shared" si="14"/>
        <v>3</v>
      </c>
      <c r="U210" s="14">
        <f t="shared" si="15"/>
        <v>1.5</v>
      </c>
    </row>
    <row r="211" spans="1:21" x14ac:dyDescent="0.25">
      <c r="A211" s="1">
        <v>62310027</v>
      </c>
      <c r="B211" s="1">
        <v>197319</v>
      </c>
      <c r="C211" s="1" t="s">
        <v>535</v>
      </c>
      <c r="D211" s="1" t="s">
        <v>69</v>
      </c>
      <c r="E211" s="1" t="s">
        <v>536</v>
      </c>
      <c r="F211" s="1" t="s">
        <v>76</v>
      </c>
      <c r="G211" s="1" t="s">
        <v>23</v>
      </c>
      <c r="H211" s="1" t="s">
        <v>19</v>
      </c>
      <c r="I211" s="1" t="s">
        <v>151</v>
      </c>
      <c r="J211" s="1" t="s">
        <v>152</v>
      </c>
      <c r="K211" s="1" t="str">
        <f>VLOOKUP(J211,'IU Major Match'!$D$2:$E$65,2,FALSE)</f>
        <v>Major Dont exists in IU</v>
      </c>
      <c r="L211" s="1">
        <v>71013818</v>
      </c>
      <c r="M211" s="1" t="s">
        <v>178</v>
      </c>
      <c r="N211" s="11">
        <v>105</v>
      </c>
      <c r="O211" s="11">
        <v>75</v>
      </c>
      <c r="P211" s="11">
        <v>9</v>
      </c>
      <c r="Q211" s="11">
        <v>21</v>
      </c>
      <c r="R211" s="5">
        <f t="shared" si="12"/>
        <v>0.8</v>
      </c>
      <c r="S211" s="13" t="str">
        <f t="shared" si="13"/>
        <v>&gt;50</v>
      </c>
      <c r="T211" s="14">
        <f t="shared" si="14"/>
        <v>2</v>
      </c>
      <c r="U211" s="14">
        <f t="shared" si="15"/>
        <v>1</v>
      </c>
    </row>
    <row r="212" spans="1:21" x14ac:dyDescent="0.25">
      <c r="A212" s="1">
        <v>62130245</v>
      </c>
      <c r="B212" s="1">
        <v>171263</v>
      </c>
      <c r="C212" s="1" t="s">
        <v>537</v>
      </c>
      <c r="D212" s="1" t="s">
        <v>538</v>
      </c>
      <c r="E212" s="1" t="s">
        <v>130</v>
      </c>
      <c r="F212" s="1" t="s">
        <v>76</v>
      </c>
      <c r="G212" s="1" t="s">
        <v>23</v>
      </c>
      <c r="H212" s="1" t="s">
        <v>19</v>
      </c>
      <c r="I212" s="1" t="s">
        <v>103</v>
      </c>
      <c r="J212" s="1" t="s">
        <v>104</v>
      </c>
      <c r="K212" s="1" t="str">
        <f>VLOOKUP(J212,'IU Major Match'!$D$2:$E$65,2,FALSE)</f>
        <v xml:space="preserve">Major exists in IU </v>
      </c>
      <c r="L212" s="1">
        <v>96171547484</v>
      </c>
      <c r="M212" s="1" t="s">
        <v>79</v>
      </c>
      <c r="N212" s="11">
        <v>100</v>
      </c>
      <c r="O212" s="11">
        <v>41</v>
      </c>
      <c r="P212" s="11">
        <v>12</v>
      </c>
      <c r="Q212" s="11">
        <v>47</v>
      </c>
      <c r="R212" s="5">
        <f t="shared" si="12"/>
        <v>0.53</v>
      </c>
      <c r="S212" s="13" t="str">
        <f t="shared" si="13"/>
        <v>&gt;50</v>
      </c>
      <c r="T212" s="14">
        <f t="shared" si="14"/>
        <v>4</v>
      </c>
      <c r="U212" s="14">
        <f t="shared" si="15"/>
        <v>2</v>
      </c>
    </row>
    <row r="213" spans="1:21" x14ac:dyDescent="0.25">
      <c r="A213" s="1">
        <v>62130529</v>
      </c>
      <c r="B213" s="1">
        <v>191703</v>
      </c>
      <c r="C213" s="1" t="s">
        <v>539</v>
      </c>
      <c r="D213" s="1" t="s">
        <v>540</v>
      </c>
      <c r="E213" s="1" t="s">
        <v>541</v>
      </c>
      <c r="F213" s="1" t="s">
        <v>76</v>
      </c>
      <c r="G213" s="1" t="s">
        <v>23</v>
      </c>
      <c r="H213" s="1" t="s">
        <v>19</v>
      </c>
      <c r="I213" s="1" t="s">
        <v>542</v>
      </c>
      <c r="J213" s="1" t="s">
        <v>543</v>
      </c>
      <c r="K213" s="1" t="str">
        <f>VLOOKUP(J213,'IU Major Match'!$D$2:$E$65,2,FALSE)</f>
        <v xml:space="preserve">Major exists in IU </v>
      </c>
      <c r="L213" s="1">
        <v>96176669976</v>
      </c>
      <c r="M213" s="1" t="s">
        <v>79</v>
      </c>
      <c r="N213" s="11">
        <v>108</v>
      </c>
      <c r="O213" s="11">
        <v>75</v>
      </c>
      <c r="P213" s="11">
        <v>9</v>
      </c>
      <c r="Q213" s="11">
        <v>24</v>
      </c>
      <c r="R213" s="5">
        <f t="shared" si="12"/>
        <v>0.77777777777777779</v>
      </c>
      <c r="S213" s="13" t="str">
        <f t="shared" si="13"/>
        <v>&gt;50</v>
      </c>
      <c r="T213" s="14">
        <f t="shared" si="14"/>
        <v>2</v>
      </c>
      <c r="U213" s="14">
        <f t="shared" si="15"/>
        <v>1</v>
      </c>
    </row>
    <row r="214" spans="1:21" x14ac:dyDescent="0.25">
      <c r="A214" s="1">
        <v>62530251</v>
      </c>
      <c r="B214" s="1">
        <v>225565</v>
      </c>
      <c r="C214" s="1" t="s">
        <v>544</v>
      </c>
      <c r="D214" s="1" t="s">
        <v>501</v>
      </c>
      <c r="E214" s="1" t="s">
        <v>545</v>
      </c>
      <c r="F214" s="1" t="s">
        <v>76</v>
      </c>
      <c r="G214" s="1" t="s">
        <v>93</v>
      </c>
      <c r="H214" s="1" t="s">
        <v>19</v>
      </c>
      <c r="I214" s="1" t="s">
        <v>138</v>
      </c>
      <c r="J214" s="1" t="s">
        <v>139</v>
      </c>
      <c r="K214" s="1" t="str">
        <f>VLOOKUP(J214,'IU Major Match'!$D$2:$E$65,2,FALSE)</f>
        <v xml:space="preserve">Major exists in IU </v>
      </c>
      <c r="L214" s="1">
        <v>76494679</v>
      </c>
      <c r="M214" s="1" t="s">
        <v>99</v>
      </c>
      <c r="N214" s="11">
        <v>99</v>
      </c>
      <c r="O214" s="11">
        <v>6</v>
      </c>
      <c r="P214" s="11">
        <v>13</v>
      </c>
      <c r="Q214" s="11">
        <v>84</v>
      </c>
      <c r="R214" s="5">
        <f t="shared" si="12"/>
        <v>0.19191919191919191</v>
      </c>
      <c r="S214" s="13" t="str">
        <f t="shared" si="13"/>
        <v>=&lt;50</v>
      </c>
      <c r="T214" s="14">
        <f t="shared" si="14"/>
        <v>6</v>
      </c>
      <c r="U214" s="14">
        <f t="shared" si="15"/>
        <v>3</v>
      </c>
    </row>
    <row r="215" spans="1:21" x14ac:dyDescent="0.25">
      <c r="A215" s="1">
        <v>62330038</v>
      </c>
      <c r="B215" s="1">
        <v>198761</v>
      </c>
      <c r="C215" s="1" t="s">
        <v>546</v>
      </c>
      <c r="D215" s="1" t="s">
        <v>547</v>
      </c>
      <c r="E215" s="1" t="s">
        <v>548</v>
      </c>
      <c r="F215" s="1" t="s">
        <v>76</v>
      </c>
      <c r="G215" s="1" t="s">
        <v>23</v>
      </c>
      <c r="H215" s="1" t="s">
        <v>19</v>
      </c>
      <c r="I215" s="1" t="s">
        <v>116</v>
      </c>
      <c r="J215" s="1" t="s">
        <v>117</v>
      </c>
      <c r="K215" s="1" t="str">
        <f>VLOOKUP(J215,'IU Major Match'!$D$2:$E$65,2,FALSE)</f>
        <v>Major Dont exists in IU</v>
      </c>
      <c r="L215" s="1">
        <v>96170206308</v>
      </c>
      <c r="M215" s="1" t="s">
        <v>90</v>
      </c>
      <c r="N215" s="11">
        <v>99</v>
      </c>
      <c r="O215" s="11">
        <v>79</v>
      </c>
      <c r="P215" s="11">
        <v>20</v>
      </c>
      <c r="Q215" s="11">
        <v>0</v>
      </c>
      <c r="R215" s="5">
        <f t="shared" si="12"/>
        <v>1</v>
      </c>
      <c r="S215" s="13" t="str">
        <f t="shared" si="13"/>
        <v>&gt;50</v>
      </c>
      <c r="T215" s="14">
        <f t="shared" si="14"/>
        <v>0</v>
      </c>
      <c r="U215" s="14">
        <f t="shared" si="15"/>
        <v>0</v>
      </c>
    </row>
    <row r="216" spans="1:21" x14ac:dyDescent="0.25">
      <c r="A216" s="1">
        <v>62430206</v>
      </c>
      <c r="B216" s="1">
        <v>213405</v>
      </c>
      <c r="C216" s="1" t="s">
        <v>38</v>
      </c>
      <c r="D216" s="1" t="s">
        <v>549</v>
      </c>
      <c r="E216" s="1" t="s">
        <v>550</v>
      </c>
      <c r="F216" s="1" t="s">
        <v>76</v>
      </c>
      <c r="G216" s="1" t="s">
        <v>23</v>
      </c>
      <c r="H216" s="1" t="s">
        <v>19</v>
      </c>
      <c r="I216" s="1" t="s">
        <v>103</v>
      </c>
      <c r="J216" s="1" t="s">
        <v>104</v>
      </c>
      <c r="K216" s="1" t="str">
        <f>VLOOKUP(J216,'IU Major Match'!$D$2:$E$65,2,FALSE)</f>
        <v xml:space="preserve">Major exists in IU </v>
      </c>
      <c r="L216" s="1">
        <v>70241624</v>
      </c>
      <c r="M216" s="1" t="s">
        <v>113</v>
      </c>
      <c r="N216" s="11">
        <v>100</v>
      </c>
      <c r="O216" s="11">
        <v>35</v>
      </c>
      <c r="P216" s="11">
        <v>18</v>
      </c>
      <c r="Q216" s="11">
        <v>47</v>
      </c>
      <c r="R216" s="5">
        <f t="shared" si="12"/>
        <v>0.53</v>
      </c>
      <c r="S216" s="13" t="str">
        <f t="shared" si="13"/>
        <v>&gt;50</v>
      </c>
      <c r="T216" s="14">
        <f t="shared" si="14"/>
        <v>4</v>
      </c>
      <c r="U216" s="14">
        <f t="shared" si="15"/>
        <v>2</v>
      </c>
    </row>
    <row r="217" spans="1:21" x14ac:dyDescent="0.25">
      <c r="A217" s="1">
        <v>62230161</v>
      </c>
      <c r="B217" s="1">
        <v>189104</v>
      </c>
      <c r="C217" s="1" t="s">
        <v>509</v>
      </c>
      <c r="D217" s="1" t="s">
        <v>367</v>
      </c>
      <c r="E217" s="1" t="s">
        <v>417</v>
      </c>
      <c r="F217" s="1" t="s">
        <v>76</v>
      </c>
      <c r="G217" s="1" t="s">
        <v>93</v>
      </c>
      <c r="H217" s="1" t="s">
        <v>19</v>
      </c>
      <c r="I217" s="1" t="s">
        <v>107</v>
      </c>
      <c r="J217" s="1" t="s">
        <v>108</v>
      </c>
      <c r="K217" s="1" t="str">
        <f>VLOOKUP(J217,'IU Major Match'!$D$2:$E$65,2,FALSE)</f>
        <v xml:space="preserve">Major exists in IU </v>
      </c>
      <c r="L217" s="1">
        <v>70515194</v>
      </c>
      <c r="M217" s="1" t="s">
        <v>153</v>
      </c>
      <c r="N217" s="11">
        <v>99</v>
      </c>
      <c r="O217" s="11">
        <v>66</v>
      </c>
      <c r="P217" s="11">
        <v>15</v>
      </c>
      <c r="Q217" s="11">
        <v>18</v>
      </c>
      <c r="R217" s="5">
        <f t="shared" si="12"/>
        <v>0.81818181818181823</v>
      </c>
      <c r="S217" s="13" t="str">
        <f t="shared" si="13"/>
        <v>&gt;50</v>
      </c>
      <c r="T217" s="14">
        <f t="shared" si="14"/>
        <v>2</v>
      </c>
      <c r="U217" s="14">
        <f t="shared" si="15"/>
        <v>1</v>
      </c>
    </row>
    <row r="218" spans="1:21" x14ac:dyDescent="0.25">
      <c r="A218" s="1">
        <v>61830209</v>
      </c>
      <c r="B218" s="1">
        <v>197874</v>
      </c>
      <c r="C218" s="1" t="s">
        <v>64</v>
      </c>
      <c r="D218" s="1" t="s">
        <v>119</v>
      </c>
      <c r="E218" s="1" t="s">
        <v>551</v>
      </c>
      <c r="F218" s="1" t="s">
        <v>76</v>
      </c>
      <c r="G218" s="1" t="s">
        <v>23</v>
      </c>
      <c r="H218" s="1" t="s">
        <v>19</v>
      </c>
      <c r="I218" s="1" t="s">
        <v>103</v>
      </c>
      <c r="J218" s="1" t="s">
        <v>104</v>
      </c>
      <c r="K218" s="1" t="str">
        <f>VLOOKUP(J218,'IU Major Match'!$D$2:$E$65,2,FALSE)</f>
        <v xml:space="preserve">Major exists in IU </v>
      </c>
      <c r="L218" s="1">
        <v>81269687</v>
      </c>
      <c r="M218" s="1" t="s">
        <v>178</v>
      </c>
      <c r="N218" s="11">
        <v>100</v>
      </c>
      <c r="O218" s="11">
        <v>88</v>
      </c>
      <c r="P218" s="11">
        <v>12</v>
      </c>
      <c r="Q218" s="11">
        <v>0</v>
      </c>
      <c r="R218" s="5">
        <f t="shared" si="12"/>
        <v>1</v>
      </c>
      <c r="S218" s="13" t="str">
        <f t="shared" si="13"/>
        <v>&gt;50</v>
      </c>
      <c r="T218" s="14">
        <f t="shared" si="14"/>
        <v>0</v>
      </c>
      <c r="U218" s="14">
        <f t="shared" si="15"/>
        <v>0</v>
      </c>
    </row>
    <row r="219" spans="1:21" x14ac:dyDescent="0.25">
      <c r="A219" s="1">
        <v>62430096</v>
      </c>
      <c r="B219" s="1">
        <v>210066</v>
      </c>
      <c r="C219" s="1" t="s">
        <v>552</v>
      </c>
      <c r="D219" s="1" t="s">
        <v>27</v>
      </c>
      <c r="E219" s="1" t="s">
        <v>553</v>
      </c>
      <c r="F219" s="1" t="s">
        <v>76</v>
      </c>
      <c r="G219" s="1" t="s">
        <v>23</v>
      </c>
      <c r="H219" s="1" t="s">
        <v>19</v>
      </c>
      <c r="I219" s="1" t="s">
        <v>151</v>
      </c>
      <c r="J219" s="1" t="s">
        <v>152</v>
      </c>
      <c r="K219" s="1" t="str">
        <f>VLOOKUP(J219,'IU Major Match'!$D$2:$E$65,2,FALSE)</f>
        <v>Major Dont exists in IU</v>
      </c>
      <c r="L219" s="1">
        <v>71679607</v>
      </c>
      <c r="M219" s="1" t="s">
        <v>113</v>
      </c>
      <c r="N219" s="11">
        <v>105</v>
      </c>
      <c r="O219" s="11">
        <v>25</v>
      </c>
      <c r="P219" s="11">
        <v>9</v>
      </c>
      <c r="Q219" s="11">
        <v>71</v>
      </c>
      <c r="R219" s="5">
        <f t="shared" si="12"/>
        <v>0.32380952380952382</v>
      </c>
      <c r="S219" s="13" t="str">
        <f t="shared" si="13"/>
        <v>=&lt;50</v>
      </c>
      <c r="T219" s="14">
        <f t="shared" si="14"/>
        <v>5</v>
      </c>
      <c r="U219" s="14">
        <f t="shared" si="15"/>
        <v>2.5</v>
      </c>
    </row>
    <row r="220" spans="1:21" x14ac:dyDescent="0.25">
      <c r="A220" s="1">
        <v>62430231</v>
      </c>
      <c r="B220" s="1">
        <v>213349</v>
      </c>
      <c r="C220" s="1" t="s">
        <v>552</v>
      </c>
      <c r="D220" s="1" t="s">
        <v>554</v>
      </c>
      <c r="E220" s="1" t="s">
        <v>555</v>
      </c>
      <c r="F220" s="1" t="s">
        <v>76</v>
      </c>
      <c r="G220" s="1" t="s">
        <v>93</v>
      </c>
      <c r="H220" s="1" t="s">
        <v>19</v>
      </c>
      <c r="I220" s="1" t="s">
        <v>107</v>
      </c>
      <c r="J220" s="1" t="s">
        <v>108</v>
      </c>
      <c r="K220" s="1" t="str">
        <f>VLOOKUP(J220,'IU Major Match'!$D$2:$E$65,2,FALSE)</f>
        <v xml:space="preserve">Major exists in IU </v>
      </c>
      <c r="L220" s="1">
        <v>96181014721</v>
      </c>
      <c r="M220" s="1" t="s">
        <v>113</v>
      </c>
      <c r="N220" s="11">
        <v>99</v>
      </c>
      <c r="O220" s="11">
        <v>15</v>
      </c>
      <c r="P220" s="11">
        <v>18</v>
      </c>
      <c r="Q220" s="11">
        <v>66</v>
      </c>
      <c r="R220" s="5">
        <f t="shared" si="12"/>
        <v>0.33333333333333331</v>
      </c>
      <c r="S220" s="13" t="str">
        <f t="shared" si="13"/>
        <v>=&lt;50</v>
      </c>
      <c r="T220" s="14">
        <f t="shared" si="14"/>
        <v>5</v>
      </c>
      <c r="U220" s="14">
        <f t="shared" si="15"/>
        <v>2.5</v>
      </c>
    </row>
    <row r="221" spans="1:21" x14ac:dyDescent="0.25">
      <c r="A221" s="1">
        <v>62530072</v>
      </c>
      <c r="B221" s="1">
        <v>221841</v>
      </c>
      <c r="C221" s="1" t="s">
        <v>552</v>
      </c>
      <c r="D221" s="1" t="s">
        <v>21</v>
      </c>
      <c r="E221" s="1" t="s">
        <v>556</v>
      </c>
      <c r="F221" s="1" t="s">
        <v>76</v>
      </c>
      <c r="G221" s="1" t="s">
        <v>200</v>
      </c>
      <c r="H221" s="1" t="s">
        <v>19</v>
      </c>
      <c r="I221" s="1" t="s">
        <v>201</v>
      </c>
      <c r="J221" s="1" t="s">
        <v>202</v>
      </c>
      <c r="K221" s="1" t="str">
        <f>VLOOKUP(J221,'IU Major Match'!$D$2:$E$65,2,FALSE)</f>
        <v>Major Dont exists in IU</v>
      </c>
      <c r="L221" s="1">
        <v>96181819090</v>
      </c>
      <c r="M221" s="1" t="s">
        <v>99</v>
      </c>
      <c r="N221" s="11">
        <v>65</v>
      </c>
      <c r="O221" s="11">
        <v>9</v>
      </c>
      <c r="P221" s="11">
        <v>18</v>
      </c>
      <c r="Q221" s="11">
        <v>42</v>
      </c>
      <c r="R221" s="5">
        <f t="shared" si="12"/>
        <v>0.41538461538461541</v>
      </c>
      <c r="S221" s="13" t="str">
        <f t="shared" si="13"/>
        <v>=&lt;50</v>
      </c>
      <c r="T221" s="14">
        <f t="shared" si="14"/>
        <v>3</v>
      </c>
      <c r="U221" s="14">
        <f t="shared" si="15"/>
        <v>1.5</v>
      </c>
    </row>
    <row r="222" spans="1:21" x14ac:dyDescent="0.25">
      <c r="A222" s="1">
        <v>62530071</v>
      </c>
      <c r="B222" s="1">
        <v>221965</v>
      </c>
      <c r="C222" s="1" t="s">
        <v>557</v>
      </c>
      <c r="D222" s="1" t="s">
        <v>15</v>
      </c>
      <c r="E222" s="1" t="s">
        <v>167</v>
      </c>
      <c r="F222" s="1" t="s">
        <v>76</v>
      </c>
      <c r="G222" s="1" t="s">
        <v>200</v>
      </c>
      <c r="H222" s="1" t="s">
        <v>19</v>
      </c>
      <c r="I222" s="1" t="s">
        <v>201</v>
      </c>
      <c r="J222" s="1" t="s">
        <v>202</v>
      </c>
      <c r="K222" s="1" t="str">
        <f>VLOOKUP(J222,'IU Major Match'!$D$2:$E$65,2,FALSE)</f>
        <v>Major Dont exists in IU</v>
      </c>
      <c r="L222" s="1">
        <v>96181287268</v>
      </c>
      <c r="M222" s="1" t="s">
        <v>99</v>
      </c>
      <c r="N222" s="11">
        <v>65</v>
      </c>
      <c r="O222" s="11">
        <v>9</v>
      </c>
      <c r="P222" s="11">
        <v>14</v>
      </c>
      <c r="Q222" s="11">
        <v>42</v>
      </c>
      <c r="R222" s="5">
        <f t="shared" si="12"/>
        <v>0.35384615384615387</v>
      </c>
      <c r="S222" s="13" t="str">
        <f t="shared" si="13"/>
        <v>=&lt;50</v>
      </c>
      <c r="T222" s="14">
        <f t="shared" si="14"/>
        <v>3</v>
      </c>
      <c r="U222" s="14">
        <f t="shared" si="15"/>
        <v>1.5</v>
      </c>
    </row>
    <row r="223" spans="1:21" x14ac:dyDescent="0.25">
      <c r="A223" s="1">
        <v>62530024</v>
      </c>
      <c r="B223" s="1">
        <v>219812</v>
      </c>
      <c r="C223" s="1" t="s">
        <v>558</v>
      </c>
      <c r="D223" s="1" t="s">
        <v>559</v>
      </c>
      <c r="E223" s="1" t="s">
        <v>16</v>
      </c>
      <c r="F223" s="1" t="s">
        <v>76</v>
      </c>
      <c r="G223" s="1" t="s">
        <v>23</v>
      </c>
      <c r="H223" s="1" t="s">
        <v>19</v>
      </c>
      <c r="I223" s="1" t="s">
        <v>97</v>
      </c>
      <c r="J223" s="1" t="s">
        <v>98</v>
      </c>
      <c r="K223" s="1" t="str">
        <f>VLOOKUP(J223,'IU Major Match'!$D$2:$E$65,2,FALSE)</f>
        <v>Major Dont exists in IU</v>
      </c>
      <c r="L223" s="1">
        <v>81152134</v>
      </c>
      <c r="M223" s="1" t="s">
        <v>99</v>
      </c>
      <c r="N223" s="11">
        <v>105</v>
      </c>
      <c r="O223" s="11">
        <v>7</v>
      </c>
      <c r="P223" s="11">
        <v>14</v>
      </c>
      <c r="Q223" s="11">
        <v>84</v>
      </c>
      <c r="R223" s="5">
        <f t="shared" si="12"/>
        <v>0.2</v>
      </c>
      <c r="S223" s="13" t="str">
        <f t="shared" si="13"/>
        <v>=&lt;50</v>
      </c>
      <c r="T223" s="14">
        <f t="shared" si="14"/>
        <v>6</v>
      </c>
      <c r="U223" s="14">
        <f t="shared" si="15"/>
        <v>3</v>
      </c>
    </row>
    <row r="224" spans="1:21" x14ac:dyDescent="0.25">
      <c r="A224" s="1">
        <v>62530074</v>
      </c>
      <c r="B224" s="1">
        <v>225351</v>
      </c>
      <c r="C224" s="1" t="s">
        <v>240</v>
      </c>
      <c r="D224" s="1" t="s">
        <v>273</v>
      </c>
      <c r="E224" s="1" t="s">
        <v>560</v>
      </c>
      <c r="F224" s="1" t="s">
        <v>76</v>
      </c>
      <c r="G224" s="1" t="s">
        <v>200</v>
      </c>
      <c r="H224" s="1" t="s">
        <v>19</v>
      </c>
      <c r="I224" s="1" t="s">
        <v>201</v>
      </c>
      <c r="J224" s="1" t="s">
        <v>202</v>
      </c>
      <c r="K224" s="1" t="str">
        <f>VLOOKUP(J224,'IU Major Match'!$D$2:$E$65,2,FALSE)</f>
        <v>Major Dont exists in IU</v>
      </c>
      <c r="L224" s="1">
        <v>9613450555</v>
      </c>
      <c r="M224" s="1" t="s">
        <v>99</v>
      </c>
      <c r="N224" s="11">
        <v>65</v>
      </c>
      <c r="O224" s="11">
        <v>12</v>
      </c>
      <c r="P224" s="11">
        <v>11</v>
      </c>
      <c r="Q224" s="11">
        <v>42</v>
      </c>
      <c r="R224" s="5">
        <f t="shared" si="12"/>
        <v>0.35384615384615387</v>
      </c>
      <c r="S224" s="13" t="str">
        <f t="shared" si="13"/>
        <v>=&lt;50</v>
      </c>
      <c r="T224" s="14">
        <f t="shared" si="14"/>
        <v>3</v>
      </c>
      <c r="U224" s="14">
        <f t="shared" si="15"/>
        <v>1.5</v>
      </c>
    </row>
    <row r="225" spans="1:21" x14ac:dyDescent="0.25">
      <c r="A225" s="1">
        <v>62330164</v>
      </c>
      <c r="B225" s="1">
        <v>201180</v>
      </c>
      <c r="C225" s="1" t="s">
        <v>561</v>
      </c>
      <c r="D225" s="1" t="s">
        <v>129</v>
      </c>
      <c r="E225" s="1" t="s">
        <v>437</v>
      </c>
      <c r="F225" s="1" t="s">
        <v>76</v>
      </c>
      <c r="G225" s="1" t="s">
        <v>18</v>
      </c>
      <c r="H225" s="1" t="s">
        <v>19</v>
      </c>
      <c r="I225" s="1" t="s">
        <v>302</v>
      </c>
      <c r="J225" s="1" t="s">
        <v>303</v>
      </c>
      <c r="K225" s="1" t="str">
        <f>VLOOKUP(J225,'IU Major Match'!$D$2:$E$65,2,FALSE)</f>
        <v>Can be Transferred to Bachelor of Engineering</v>
      </c>
      <c r="L225" s="1">
        <v>96181017106</v>
      </c>
      <c r="M225" s="1" t="s">
        <v>90</v>
      </c>
      <c r="N225" s="11">
        <v>108</v>
      </c>
      <c r="O225" s="11">
        <v>53</v>
      </c>
      <c r="P225" s="11">
        <v>14</v>
      </c>
      <c r="Q225" s="11">
        <v>41</v>
      </c>
      <c r="R225" s="5">
        <f t="shared" si="12"/>
        <v>0.62037037037037035</v>
      </c>
      <c r="S225" s="13" t="str">
        <f t="shared" si="13"/>
        <v>&gt;50</v>
      </c>
      <c r="T225" s="14">
        <f t="shared" si="14"/>
        <v>3</v>
      </c>
      <c r="U225" s="14">
        <f t="shared" si="15"/>
        <v>1.5</v>
      </c>
    </row>
    <row r="226" spans="1:21" x14ac:dyDescent="0.25">
      <c r="A226" s="1">
        <v>62430278</v>
      </c>
      <c r="B226" s="1">
        <v>215248</v>
      </c>
      <c r="C226" s="1" t="s">
        <v>562</v>
      </c>
      <c r="D226" s="1" t="s">
        <v>131</v>
      </c>
      <c r="E226" s="1" t="s">
        <v>563</v>
      </c>
      <c r="F226" s="1" t="s">
        <v>76</v>
      </c>
      <c r="G226" s="1" t="s">
        <v>18</v>
      </c>
      <c r="H226" s="1" t="s">
        <v>19</v>
      </c>
      <c r="I226" s="1" t="s">
        <v>82</v>
      </c>
      <c r="J226" s="1" t="s">
        <v>83</v>
      </c>
      <c r="K226" s="1" t="str">
        <f>VLOOKUP(J226,'IU Major Match'!$D$2:$E$65,2,FALSE)</f>
        <v>Can be Transferred to Bachelor of Engineering</v>
      </c>
      <c r="L226" s="1">
        <v>96171492118</v>
      </c>
      <c r="M226" s="1" t="s">
        <v>113</v>
      </c>
      <c r="N226" s="11">
        <v>108</v>
      </c>
      <c r="O226" s="11">
        <v>37</v>
      </c>
      <c r="P226" s="11">
        <v>14</v>
      </c>
      <c r="Q226" s="11">
        <v>57</v>
      </c>
      <c r="R226" s="5">
        <f t="shared" si="12"/>
        <v>0.47222222222222221</v>
      </c>
      <c r="S226" s="13" t="str">
        <f t="shared" si="13"/>
        <v>=&lt;50</v>
      </c>
      <c r="T226" s="14">
        <f t="shared" si="14"/>
        <v>4</v>
      </c>
      <c r="U226" s="14">
        <f t="shared" si="15"/>
        <v>2</v>
      </c>
    </row>
    <row r="227" spans="1:21" x14ac:dyDescent="0.25">
      <c r="A227" s="1">
        <v>62330044</v>
      </c>
      <c r="B227" s="1">
        <v>199883</v>
      </c>
      <c r="C227" s="1" t="s">
        <v>564</v>
      </c>
      <c r="D227" s="1" t="s">
        <v>504</v>
      </c>
      <c r="E227" s="1" t="s">
        <v>565</v>
      </c>
      <c r="F227" s="1" t="s">
        <v>76</v>
      </c>
      <c r="G227" s="1" t="s">
        <v>23</v>
      </c>
      <c r="H227" s="1" t="s">
        <v>19</v>
      </c>
      <c r="I227" s="1" t="s">
        <v>159</v>
      </c>
      <c r="J227" s="1" t="s">
        <v>160</v>
      </c>
      <c r="K227" s="1" t="str">
        <f>VLOOKUP(J227,'IU Major Match'!$D$2:$E$65,2,FALSE)</f>
        <v xml:space="preserve">Major exists in IU </v>
      </c>
      <c r="L227" s="1">
        <v>96178959369</v>
      </c>
      <c r="M227" s="1" t="s">
        <v>90</v>
      </c>
      <c r="N227" s="11">
        <v>99</v>
      </c>
      <c r="O227" s="11">
        <v>52</v>
      </c>
      <c r="P227" s="11">
        <v>16</v>
      </c>
      <c r="Q227" s="11">
        <v>31</v>
      </c>
      <c r="R227" s="5">
        <f t="shared" si="12"/>
        <v>0.68686868686868685</v>
      </c>
      <c r="S227" s="13" t="str">
        <f t="shared" si="13"/>
        <v>&gt;50</v>
      </c>
      <c r="T227" s="14">
        <f t="shared" si="14"/>
        <v>3</v>
      </c>
      <c r="U227" s="14">
        <f t="shared" si="15"/>
        <v>1.5</v>
      </c>
    </row>
    <row r="228" spans="1:21" x14ac:dyDescent="0.25">
      <c r="A228" s="1">
        <v>62530214</v>
      </c>
      <c r="B228" s="1">
        <v>224567</v>
      </c>
      <c r="C228" s="1" t="s">
        <v>566</v>
      </c>
      <c r="D228" s="1" t="s">
        <v>119</v>
      </c>
      <c r="E228" s="1" t="s">
        <v>567</v>
      </c>
      <c r="F228" s="1" t="s">
        <v>76</v>
      </c>
      <c r="G228" s="1" t="s">
        <v>93</v>
      </c>
      <c r="H228" s="1" t="s">
        <v>19</v>
      </c>
      <c r="I228" s="1" t="s">
        <v>216</v>
      </c>
      <c r="J228" s="1" t="s">
        <v>217</v>
      </c>
      <c r="K228" s="1" t="str">
        <f>VLOOKUP(J228,'IU Major Match'!$D$2:$E$65,2,FALSE)</f>
        <v xml:space="preserve">Major exists in IU </v>
      </c>
      <c r="L228" s="1">
        <v>96170974614</v>
      </c>
      <c r="M228" s="1" t="s">
        <v>99</v>
      </c>
      <c r="N228" s="11">
        <v>99</v>
      </c>
      <c r="O228" s="11">
        <v>3</v>
      </c>
      <c r="P228" s="11">
        <v>13</v>
      </c>
      <c r="Q228" s="11">
        <v>91</v>
      </c>
      <c r="R228" s="5">
        <f t="shared" si="12"/>
        <v>0.16161616161616163</v>
      </c>
      <c r="S228" s="13" t="str">
        <f t="shared" si="13"/>
        <v>=&lt;50</v>
      </c>
      <c r="T228" s="14">
        <f t="shared" si="14"/>
        <v>7</v>
      </c>
      <c r="U228" s="14">
        <f t="shared" si="15"/>
        <v>3.5</v>
      </c>
    </row>
    <row r="229" spans="1:21" x14ac:dyDescent="0.25">
      <c r="A229" s="1">
        <v>62430173</v>
      </c>
      <c r="B229" s="1">
        <v>212205</v>
      </c>
      <c r="C229" s="1" t="s">
        <v>568</v>
      </c>
      <c r="D229" s="1" t="s">
        <v>569</v>
      </c>
      <c r="E229" s="1" t="s">
        <v>34</v>
      </c>
      <c r="F229" s="1" t="s">
        <v>76</v>
      </c>
      <c r="G229" s="1" t="s">
        <v>93</v>
      </c>
      <c r="H229" s="1" t="s">
        <v>19</v>
      </c>
      <c r="I229" s="1" t="s">
        <v>111</v>
      </c>
      <c r="J229" s="1" t="s">
        <v>112</v>
      </c>
      <c r="K229" s="1" t="str">
        <f>VLOOKUP(J229,'IU Major Match'!$D$2:$E$65,2,FALSE)</f>
        <v xml:space="preserve">Major exists in IU </v>
      </c>
      <c r="L229" s="1">
        <v>76350783</v>
      </c>
      <c r="M229" s="1" t="s">
        <v>113</v>
      </c>
      <c r="N229" s="11">
        <v>99</v>
      </c>
      <c r="O229" s="11">
        <v>36</v>
      </c>
      <c r="P229" s="11">
        <v>15</v>
      </c>
      <c r="Q229" s="11">
        <v>48</v>
      </c>
      <c r="R229" s="5">
        <f t="shared" si="12"/>
        <v>0.51515151515151514</v>
      </c>
      <c r="S229" s="13" t="str">
        <f t="shared" si="13"/>
        <v>&gt;50</v>
      </c>
      <c r="T229" s="14">
        <f t="shared" si="14"/>
        <v>4</v>
      </c>
      <c r="U229" s="14">
        <f t="shared" si="15"/>
        <v>2</v>
      </c>
    </row>
    <row r="230" spans="1:21" x14ac:dyDescent="0.25">
      <c r="A230" s="1">
        <v>62430047</v>
      </c>
      <c r="B230" s="1">
        <v>209482</v>
      </c>
      <c r="C230" s="1" t="s">
        <v>570</v>
      </c>
      <c r="D230" s="1" t="s">
        <v>571</v>
      </c>
      <c r="E230" s="1" t="s">
        <v>572</v>
      </c>
      <c r="F230" s="1" t="s">
        <v>76</v>
      </c>
      <c r="G230" s="1" t="s">
        <v>93</v>
      </c>
      <c r="H230" s="1" t="s">
        <v>19</v>
      </c>
      <c r="I230" s="1" t="s">
        <v>107</v>
      </c>
      <c r="J230" s="1" t="s">
        <v>108</v>
      </c>
      <c r="K230" s="1" t="str">
        <f>VLOOKUP(J230,'IU Major Match'!$D$2:$E$65,2,FALSE)</f>
        <v xml:space="preserve">Major exists in IU </v>
      </c>
      <c r="L230" s="1">
        <v>96176899957</v>
      </c>
      <c r="M230" s="1" t="s">
        <v>113</v>
      </c>
      <c r="N230" s="11">
        <v>99</v>
      </c>
      <c r="O230" s="11">
        <v>45</v>
      </c>
      <c r="P230" s="11">
        <v>18</v>
      </c>
      <c r="Q230" s="11">
        <v>36</v>
      </c>
      <c r="R230" s="5">
        <f t="shared" si="12"/>
        <v>0.63636363636363635</v>
      </c>
      <c r="S230" s="13" t="str">
        <f t="shared" si="13"/>
        <v>&gt;50</v>
      </c>
      <c r="T230" s="14">
        <f t="shared" si="14"/>
        <v>3</v>
      </c>
      <c r="U230" s="14">
        <f t="shared" si="15"/>
        <v>1.5</v>
      </c>
    </row>
    <row r="231" spans="1:21" x14ac:dyDescent="0.25">
      <c r="A231" s="1">
        <v>62510012</v>
      </c>
      <c r="B231" s="1">
        <v>217792</v>
      </c>
      <c r="C231" s="1" t="s">
        <v>570</v>
      </c>
      <c r="D231" s="1" t="s">
        <v>573</v>
      </c>
      <c r="E231" s="1" t="s">
        <v>502</v>
      </c>
      <c r="F231" s="1" t="s">
        <v>76</v>
      </c>
      <c r="G231" s="1" t="s">
        <v>23</v>
      </c>
      <c r="H231" s="1" t="s">
        <v>19</v>
      </c>
      <c r="I231" s="1" t="s">
        <v>142</v>
      </c>
      <c r="J231" s="1" t="s">
        <v>143</v>
      </c>
      <c r="K231" s="1" t="str">
        <f>VLOOKUP(J231,'IU Major Match'!$D$2:$E$65,2,FALSE)</f>
        <v xml:space="preserve">Major exists in IU </v>
      </c>
      <c r="L231" s="1">
        <v>96178936897</v>
      </c>
      <c r="M231" s="1" t="s">
        <v>242</v>
      </c>
      <c r="N231" s="11">
        <v>99</v>
      </c>
      <c r="O231" s="11">
        <v>21</v>
      </c>
      <c r="P231" s="11">
        <v>18</v>
      </c>
      <c r="Q231" s="11">
        <v>60</v>
      </c>
      <c r="R231" s="5">
        <f t="shared" si="12"/>
        <v>0.39393939393939392</v>
      </c>
      <c r="S231" s="13" t="str">
        <f t="shared" si="13"/>
        <v>=&lt;50</v>
      </c>
      <c r="T231" s="14">
        <f t="shared" si="14"/>
        <v>4</v>
      </c>
      <c r="U231" s="14">
        <f t="shared" si="15"/>
        <v>2</v>
      </c>
    </row>
    <row r="232" spans="1:21" x14ac:dyDescent="0.25">
      <c r="A232" s="1">
        <v>62430017</v>
      </c>
      <c r="B232" s="1">
        <v>209300</v>
      </c>
      <c r="C232" s="1" t="s">
        <v>177</v>
      </c>
      <c r="D232" s="1" t="s">
        <v>119</v>
      </c>
      <c r="E232" s="1" t="s">
        <v>574</v>
      </c>
      <c r="F232" s="1" t="s">
        <v>76</v>
      </c>
      <c r="G232" s="1" t="s">
        <v>93</v>
      </c>
      <c r="H232" s="1" t="s">
        <v>19</v>
      </c>
      <c r="I232" s="1" t="s">
        <v>107</v>
      </c>
      <c r="J232" s="1" t="s">
        <v>108</v>
      </c>
      <c r="K232" s="1" t="str">
        <f>VLOOKUP(J232,'IU Major Match'!$D$2:$E$65,2,FALSE)</f>
        <v xml:space="preserve">Major exists in IU </v>
      </c>
      <c r="L232" s="1">
        <v>76335151</v>
      </c>
      <c r="M232" s="1" t="s">
        <v>113</v>
      </c>
      <c r="N232" s="11">
        <v>99</v>
      </c>
      <c r="O232" s="11">
        <v>3</v>
      </c>
      <c r="P232" s="11">
        <v>13</v>
      </c>
      <c r="Q232" s="11">
        <v>91</v>
      </c>
      <c r="R232" s="5">
        <f t="shared" si="12"/>
        <v>0.16161616161616163</v>
      </c>
      <c r="S232" s="13" t="str">
        <f t="shared" si="13"/>
        <v>=&lt;50</v>
      </c>
      <c r="T232" s="14">
        <f t="shared" si="14"/>
        <v>7</v>
      </c>
      <c r="U232" s="14">
        <f t="shared" si="15"/>
        <v>3.5</v>
      </c>
    </row>
    <row r="233" spans="1:21" x14ac:dyDescent="0.25">
      <c r="A233" s="1">
        <v>62430229</v>
      </c>
      <c r="B233" s="1">
        <v>215187</v>
      </c>
      <c r="C233" s="1" t="s">
        <v>575</v>
      </c>
      <c r="D233" s="1" t="s">
        <v>576</v>
      </c>
      <c r="E233" s="1" t="s">
        <v>577</v>
      </c>
      <c r="F233" s="1" t="s">
        <v>76</v>
      </c>
      <c r="G233" s="1" t="s">
        <v>23</v>
      </c>
      <c r="H233" s="1" t="s">
        <v>19</v>
      </c>
      <c r="I233" s="1" t="s">
        <v>159</v>
      </c>
      <c r="J233" s="1" t="s">
        <v>160</v>
      </c>
      <c r="K233" s="1" t="str">
        <f>VLOOKUP(J233,'IU Major Match'!$D$2:$E$65,2,FALSE)</f>
        <v xml:space="preserve">Major exists in IU </v>
      </c>
      <c r="L233" s="1">
        <v>96170167333</v>
      </c>
      <c r="M233" s="1" t="s">
        <v>113</v>
      </c>
      <c r="N233" s="11">
        <v>99</v>
      </c>
      <c r="O233" s="11">
        <v>48</v>
      </c>
      <c r="P233" s="11">
        <v>9</v>
      </c>
      <c r="Q233" s="11">
        <v>42</v>
      </c>
      <c r="R233" s="5">
        <f t="shared" si="12"/>
        <v>0.5757575757575758</v>
      </c>
      <c r="S233" s="13" t="str">
        <f t="shared" si="13"/>
        <v>&gt;50</v>
      </c>
      <c r="T233" s="14">
        <f t="shared" si="14"/>
        <v>3</v>
      </c>
      <c r="U233" s="14">
        <f t="shared" si="15"/>
        <v>1.5</v>
      </c>
    </row>
    <row r="234" spans="1:21" x14ac:dyDescent="0.25">
      <c r="A234" s="1">
        <v>62230186</v>
      </c>
      <c r="B234" s="1">
        <v>187648</v>
      </c>
      <c r="C234" s="1" t="s">
        <v>575</v>
      </c>
      <c r="D234" s="1" t="s">
        <v>578</v>
      </c>
      <c r="E234" s="1" t="s">
        <v>579</v>
      </c>
      <c r="F234" s="1" t="s">
        <v>76</v>
      </c>
      <c r="G234" s="1" t="s">
        <v>200</v>
      </c>
      <c r="H234" s="1" t="s">
        <v>19</v>
      </c>
      <c r="I234" s="1" t="s">
        <v>201</v>
      </c>
      <c r="J234" s="1" t="s">
        <v>202</v>
      </c>
      <c r="K234" s="1" t="str">
        <f>VLOOKUP(J234,'IU Major Match'!$D$2:$E$65,2,FALSE)</f>
        <v>Major Dont exists in IU</v>
      </c>
      <c r="L234" s="1">
        <v>76149148</v>
      </c>
      <c r="M234" s="1" t="s">
        <v>153</v>
      </c>
      <c r="N234" s="11">
        <v>65</v>
      </c>
      <c r="O234" s="11">
        <v>8</v>
      </c>
      <c r="P234" s="11">
        <v>14</v>
      </c>
      <c r="Q234" s="11">
        <v>43</v>
      </c>
      <c r="R234" s="5">
        <f t="shared" si="12"/>
        <v>0.33846153846153848</v>
      </c>
      <c r="S234" s="13" t="str">
        <f t="shared" si="13"/>
        <v>=&lt;50</v>
      </c>
      <c r="T234" s="14">
        <f t="shared" si="14"/>
        <v>3</v>
      </c>
      <c r="U234" s="14">
        <f t="shared" si="15"/>
        <v>1.5</v>
      </c>
    </row>
    <row r="235" spans="1:21" x14ac:dyDescent="0.25">
      <c r="A235" s="1">
        <v>62030127</v>
      </c>
      <c r="B235" s="1">
        <v>153375</v>
      </c>
      <c r="C235" s="1" t="s">
        <v>575</v>
      </c>
      <c r="D235" s="1" t="s">
        <v>580</v>
      </c>
      <c r="E235" s="1" t="s">
        <v>581</v>
      </c>
      <c r="F235" s="1" t="s">
        <v>76</v>
      </c>
      <c r="G235" s="1" t="s">
        <v>23</v>
      </c>
      <c r="H235" s="1" t="s">
        <v>19</v>
      </c>
      <c r="I235" s="1" t="s">
        <v>542</v>
      </c>
      <c r="J235" s="1" t="s">
        <v>543</v>
      </c>
      <c r="K235" s="1" t="str">
        <f>VLOOKUP(J235,'IU Major Match'!$D$2:$E$65,2,FALSE)</f>
        <v xml:space="preserve">Major exists in IU </v>
      </c>
      <c r="L235" s="1">
        <v>79163926</v>
      </c>
      <c r="M235" s="1" t="s">
        <v>51</v>
      </c>
      <c r="N235" s="11">
        <v>108</v>
      </c>
      <c r="O235" s="11">
        <v>39</v>
      </c>
      <c r="P235" s="11">
        <v>12</v>
      </c>
      <c r="Q235" s="11">
        <v>57</v>
      </c>
      <c r="R235" s="5">
        <f t="shared" si="12"/>
        <v>0.47222222222222221</v>
      </c>
      <c r="S235" s="13" t="str">
        <f t="shared" si="13"/>
        <v>=&lt;50</v>
      </c>
      <c r="T235" s="14">
        <f t="shared" si="14"/>
        <v>4</v>
      </c>
      <c r="U235" s="14">
        <f t="shared" si="15"/>
        <v>2</v>
      </c>
    </row>
    <row r="236" spans="1:21" x14ac:dyDescent="0.25">
      <c r="A236" s="1">
        <v>62330269</v>
      </c>
      <c r="B236" s="1">
        <v>204217</v>
      </c>
      <c r="C236" s="1" t="s">
        <v>575</v>
      </c>
      <c r="D236" s="1" t="s">
        <v>582</v>
      </c>
      <c r="E236" s="1" t="s">
        <v>583</v>
      </c>
      <c r="F236" s="1" t="s">
        <v>76</v>
      </c>
      <c r="G236" s="1" t="s">
        <v>23</v>
      </c>
      <c r="H236" s="1" t="s">
        <v>19</v>
      </c>
      <c r="I236" s="1" t="s">
        <v>103</v>
      </c>
      <c r="J236" s="1" t="s">
        <v>104</v>
      </c>
      <c r="K236" s="1" t="str">
        <f>VLOOKUP(J236,'IU Major Match'!$D$2:$E$65,2,FALSE)</f>
        <v xml:space="preserve">Major exists in IU </v>
      </c>
      <c r="L236" s="1">
        <v>96176921228</v>
      </c>
      <c r="M236" s="1" t="s">
        <v>90</v>
      </c>
      <c r="N236" s="11">
        <v>100</v>
      </c>
      <c r="O236" s="11">
        <v>31</v>
      </c>
      <c r="P236" s="11">
        <v>10</v>
      </c>
      <c r="Q236" s="11">
        <v>59</v>
      </c>
      <c r="R236" s="5">
        <f t="shared" si="12"/>
        <v>0.41</v>
      </c>
      <c r="S236" s="13" t="str">
        <f t="shared" si="13"/>
        <v>=&lt;50</v>
      </c>
      <c r="T236" s="14">
        <f t="shared" si="14"/>
        <v>4</v>
      </c>
      <c r="U236" s="14">
        <f t="shared" si="15"/>
        <v>2</v>
      </c>
    </row>
    <row r="237" spans="1:21" x14ac:dyDescent="0.25">
      <c r="A237" s="1">
        <v>62430329</v>
      </c>
      <c r="B237" s="1">
        <v>216909</v>
      </c>
      <c r="C237" s="1" t="s">
        <v>575</v>
      </c>
      <c r="D237" s="1" t="s">
        <v>119</v>
      </c>
      <c r="E237" s="1" t="s">
        <v>584</v>
      </c>
      <c r="F237" s="1" t="s">
        <v>76</v>
      </c>
      <c r="G237" s="1" t="s">
        <v>585</v>
      </c>
      <c r="H237" s="1" t="s">
        <v>19</v>
      </c>
      <c r="I237" s="1" t="s">
        <v>586</v>
      </c>
      <c r="J237" s="1" t="s">
        <v>587</v>
      </c>
      <c r="K237" s="1" t="str">
        <f>VLOOKUP(J237,'IU Major Match'!$D$2:$E$65,2,FALSE)</f>
        <v xml:space="preserve">Major exists in IU </v>
      </c>
      <c r="L237" s="1">
        <v>81548093</v>
      </c>
      <c r="M237" s="1" t="s">
        <v>113</v>
      </c>
      <c r="N237" s="11">
        <v>31</v>
      </c>
      <c r="O237" s="11">
        <v>0</v>
      </c>
      <c r="P237" s="11">
        <v>13</v>
      </c>
      <c r="Q237" s="11">
        <v>21</v>
      </c>
      <c r="R237" s="5">
        <f t="shared" si="12"/>
        <v>0.41935483870967744</v>
      </c>
      <c r="S237" s="13" t="str">
        <f t="shared" si="13"/>
        <v>=&lt;50</v>
      </c>
      <c r="T237" s="14">
        <f t="shared" si="14"/>
        <v>2</v>
      </c>
      <c r="U237" s="14">
        <f t="shared" si="15"/>
        <v>1</v>
      </c>
    </row>
    <row r="238" spans="1:21" x14ac:dyDescent="0.25">
      <c r="A238" s="1">
        <v>62430141</v>
      </c>
      <c r="B238" s="1">
        <v>210624</v>
      </c>
      <c r="C238" s="1" t="s">
        <v>588</v>
      </c>
      <c r="D238" s="1" t="s">
        <v>580</v>
      </c>
      <c r="E238" s="1" t="s">
        <v>589</v>
      </c>
      <c r="F238" s="1" t="s">
        <v>76</v>
      </c>
      <c r="G238" s="1" t="s">
        <v>68</v>
      </c>
      <c r="H238" s="1" t="s">
        <v>19</v>
      </c>
      <c r="I238" s="1" t="s">
        <v>474</v>
      </c>
      <c r="J238" s="1" t="s">
        <v>475</v>
      </c>
      <c r="K238" s="1" t="str">
        <f>VLOOKUP(J238,'IU Major Match'!$D$2:$E$65,2,FALSE)</f>
        <v xml:space="preserve">Major exists in IU </v>
      </c>
      <c r="L238" s="1">
        <v>81532833</v>
      </c>
      <c r="M238" s="1" t="s">
        <v>113</v>
      </c>
      <c r="N238" s="11">
        <v>99</v>
      </c>
      <c r="O238" s="11">
        <v>30</v>
      </c>
      <c r="P238" s="11">
        <v>18</v>
      </c>
      <c r="Q238" s="11">
        <v>51</v>
      </c>
      <c r="R238" s="5">
        <f t="shared" si="12"/>
        <v>0.48484848484848486</v>
      </c>
      <c r="S238" s="13" t="str">
        <f t="shared" si="13"/>
        <v>=&lt;50</v>
      </c>
      <c r="T238" s="14">
        <f t="shared" si="14"/>
        <v>4</v>
      </c>
      <c r="U238" s="14">
        <f t="shared" si="15"/>
        <v>2</v>
      </c>
    </row>
    <row r="239" spans="1:21" x14ac:dyDescent="0.25">
      <c r="A239" s="1">
        <v>62530195</v>
      </c>
      <c r="B239" s="1">
        <v>223456</v>
      </c>
      <c r="C239" s="1" t="s">
        <v>590</v>
      </c>
      <c r="D239" s="1" t="s">
        <v>591</v>
      </c>
      <c r="E239" s="1" t="s">
        <v>592</v>
      </c>
      <c r="F239" s="1" t="s">
        <v>76</v>
      </c>
      <c r="G239" s="1" t="s">
        <v>23</v>
      </c>
      <c r="H239" s="1" t="s">
        <v>19</v>
      </c>
      <c r="I239" s="1" t="s">
        <v>142</v>
      </c>
      <c r="J239" s="1" t="s">
        <v>143</v>
      </c>
      <c r="K239" s="1" t="str">
        <f>VLOOKUP(J239,'IU Major Match'!$D$2:$E$65,2,FALSE)</f>
        <v xml:space="preserve">Major exists in IU </v>
      </c>
      <c r="L239" s="1">
        <v>96181656118</v>
      </c>
      <c r="M239" s="1" t="s">
        <v>99</v>
      </c>
      <c r="N239" s="11">
        <v>99</v>
      </c>
      <c r="O239" s="11">
        <v>9</v>
      </c>
      <c r="P239" s="11">
        <v>18</v>
      </c>
      <c r="Q239" s="11">
        <v>72</v>
      </c>
      <c r="R239" s="5">
        <f t="shared" si="12"/>
        <v>0.27272727272727271</v>
      </c>
      <c r="S239" s="13" t="str">
        <f t="shared" si="13"/>
        <v>=&lt;50</v>
      </c>
      <c r="T239" s="14">
        <f t="shared" si="14"/>
        <v>5</v>
      </c>
      <c r="U239" s="14">
        <f t="shared" si="15"/>
        <v>2.5</v>
      </c>
    </row>
    <row r="240" spans="1:21" x14ac:dyDescent="0.25">
      <c r="A240" s="1">
        <v>62410015</v>
      </c>
      <c r="B240" s="1">
        <v>207969</v>
      </c>
      <c r="C240" s="1" t="s">
        <v>590</v>
      </c>
      <c r="D240" s="1" t="s">
        <v>268</v>
      </c>
      <c r="E240" s="1" t="s">
        <v>593</v>
      </c>
      <c r="F240" s="1" t="s">
        <v>76</v>
      </c>
      <c r="G240" s="1" t="s">
        <v>93</v>
      </c>
      <c r="H240" s="1" t="s">
        <v>19</v>
      </c>
      <c r="I240" s="1" t="s">
        <v>111</v>
      </c>
      <c r="J240" s="1" t="s">
        <v>112</v>
      </c>
      <c r="K240" s="1" t="str">
        <f>VLOOKUP(J240,'IU Major Match'!$D$2:$E$65,2,FALSE)</f>
        <v xml:space="preserve">Major exists in IU </v>
      </c>
      <c r="L240" s="1">
        <v>96181651311</v>
      </c>
      <c r="M240" s="1" t="s">
        <v>362</v>
      </c>
      <c r="N240" s="11">
        <v>99</v>
      </c>
      <c r="O240" s="11">
        <v>54</v>
      </c>
      <c r="P240" s="11">
        <v>12</v>
      </c>
      <c r="Q240" s="11">
        <v>33</v>
      </c>
      <c r="R240" s="5">
        <f t="shared" si="12"/>
        <v>0.66666666666666663</v>
      </c>
      <c r="S240" s="13" t="str">
        <f t="shared" si="13"/>
        <v>&gt;50</v>
      </c>
      <c r="T240" s="14">
        <f t="shared" si="14"/>
        <v>3</v>
      </c>
      <c r="U240" s="14">
        <f t="shared" si="15"/>
        <v>1.5</v>
      </c>
    </row>
    <row r="241" spans="1:21" x14ac:dyDescent="0.25">
      <c r="A241" s="1">
        <v>62430107</v>
      </c>
      <c r="B241" s="1">
        <v>210050</v>
      </c>
      <c r="C241" s="1" t="s">
        <v>594</v>
      </c>
      <c r="D241" s="1" t="s">
        <v>451</v>
      </c>
      <c r="E241" s="1" t="s">
        <v>595</v>
      </c>
      <c r="F241" s="1" t="s">
        <v>76</v>
      </c>
      <c r="G241" s="1" t="s">
        <v>93</v>
      </c>
      <c r="H241" s="1" t="s">
        <v>19</v>
      </c>
      <c r="I241" s="1" t="s">
        <v>111</v>
      </c>
      <c r="J241" s="1" t="s">
        <v>112</v>
      </c>
      <c r="K241" s="1" t="str">
        <f>VLOOKUP(J241,'IU Major Match'!$D$2:$E$65,2,FALSE)</f>
        <v xml:space="preserve">Major exists in IU </v>
      </c>
      <c r="L241" s="1">
        <v>96170696382</v>
      </c>
      <c r="M241" s="1" t="s">
        <v>113</v>
      </c>
      <c r="N241" s="11">
        <v>99</v>
      </c>
      <c r="O241" s="11">
        <v>27</v>
      </c>
      <c r="P241" s="11">
        <v>12</v>
      </c>
      <c r="Q241" s="11">
        <v>60</v>
      </c>
      <c r="R241" s="5">
        <f t="shared" si="12"/>
        <v>0.39393939393939392</v>
      </c>
      <c r="S241" s="13" t="str">
        <f t="shared" si="13"/>
        <v>=&lt;50</v>
      </c>
      <c r="T241" s="14">
        <f t="shared" si="14"/>
        <v>4</v>
      </c>
      <c r="U241" s="14">
        <f t="shared" si="15"/>
        <v>2</v>
      </c>
    </row>
    <row r="242" spans="1:21" x14ac:dyDescent="0.25">
      <c r="A242" s="1">
        <v>62510025</v>
      </c>
      <c r="B242" s="1">
        <v>217818</v>
      </c>
      <c r="C242" s="1" t="s">
        <v>596</v>
      </c>
      <c r="D242" s="1" t="s">
        <v>597</v>
      </c>
      <c r="E242" s="1" t="s">
        <v>598</v>
      </c>
      <c r="F242" s="1" t="s">
        <v>76</v>
      </c>
      <c r="G242" s="1" t="s">
        <v>93</v>
      </c>
      <c r="H242" s="1" t="s">
        <v>19</v>
      </c>
      <c r="I242" s="1" t="s">
        <v>124</v>
      </c>
      <c r="J242" s="1" t="s">
        <v>125</v>
      </c>
      <c r="K242" s="1" t="str">
        <f>VLOOKUP(J242,'IU Major Match'!$D$2:$E$65,2,FALSE)</f>
        <v xml:space="preserve">Major exists in IU </v>
      </c>
      <c r="L242" s="1">
        <v>96181404275</v>
      </c>
      <c r="M242" s="1" t="s">
        <v>242</v>
      </c>
      <c r="N242" s="11">
        <v>99</v>
      </c>
      <c r="O242" s="11">
        <v>60</v>
      </c>
      <c r="P242" s="11">
        <v>18</v>
      </c>
      <c r="Q242" s="11">
        <v>24</v>
      </c>
      <c r="R242" s="5">
        <f t="shared" si="12"/>
        <v>0.78787878787878785</v>
      </c>
      <c r="S242" s="13" t="str">
        <f t="shared" si="13"/>
        <v>&gt;50</v>
      </c>
      <c r="T242" s="14">
        <f t="shared" si="14"/>
        <v>2</v>
      </c>
      <c r="U242" s="14">
        <f t="shared" si="15"/>
        <v>1</v>
      </c>
    </row>
    <row r="243" spans="1:21" x14ac:dyDescent="0.25">
      <c r="A243" s="1">
        <v>62330163</v>
      </c>
      <c r="B243" s="1">
        <v>200563</v>
      </c>
      <c r="C243" s="1" t="s">
        <v>596</v>
      </c>
      <c r="D243" s="1" t="s">
        <v>599</v>
      </c>
      <c r="E243" s="1" t="s">
        <v>600</v>
      </c>
      <c r="F243" s="1" t="s">
        <v>76</v>
      </c>
      <c r="G243" s="1" t="s">
        <v>93</v>
      </c>
      <c r="H243" s="1" t="s">
        <v>19</v>
      </c>
      <c r="I243" s="1" t="s">
        <v>111</v>
      </c>
      <c r="J243" s="1" t="s">
        <v>112</v>
      </c>
      <c r="K243" s="1" t="str">
        <f>VLOOKUP(J243,'IU Major Match'!$D$2:$E$65,2,FALSE)</f>
        <v xml:space="preserve">Major exists in IU </v>
      </c>
      <c r="L243" s="1">
        <v>76541377</v>
      </c>
      <c r="M243" s="1" t="s">
        <v>90</v>
      </c>
      <c r="N243" s="11">
        <v>99</v>
      </c>
      <c r="O243" s="11">
        <v>72</v>
      </c>
      <c r="P243" s="11">
        <v>15</v>
      </c>
      <c r="Q243" s="11">
        <v>12</v>
      </c>
      <c r="R243" s="5">
        <f t="shared" si="12"/>
        <v>0.87878787878787878</v>
      </c>
      <c r="S243" s="13" t="str">
        <f t="shared" si="13"/>
        <v>&gt;50</v>
      </c>
      <c r="T243" s="14">
        <f t="shared" si="14"/>
        <v>1</v>
      </c>
      <c r="U243" s="14">
        <f t="shared" si="15"/>
        <v>0.5</v>
      </c>
    </row>
    <row r="244" spans="1:21" x14ac:dyDescent="0.25">
      <c r="A244" s="1">
        <v>62430023</v>
      </c>
      <c r="B244" s="1">
        <v>209298</v>
      </c>
      <c r="C244" s="1" t="s">
        <v>601</v>
      </c>
      <c r="D244" s="1" t="s">
        <v>602</v>
      </c>
      <c r="E244" s="1" t="s">
        <v>603</v>
      </c>
      <c r="F244" s="1" t="s">
        <v>76</v>
      </c>
      <c r="G244" s="1" t="s">
        <v>93</v>
      </c>
      <c r="H244" s="1" t="s">
        <v>19</v>
      </c>
      <c r="I244" s="1" t="s">
        <v>168</v>
      </c>
      <c r="J244" s="1" t="s">
        <v>169</v>
      </c>
      <c r="K244" s="1" t="str">
        <f>VLOOKUP(J244,'IU Major Match'!$D$2:$E$65,2,FALSE)</f>
        <v>Major Dont exists in IU</v>
      </c>
      <c r="L244" s="1">
        <v>96170075142</v>
      </c>
      <c r="M244" s="1" t="s">
        <v>113</v>
      </c>
      <c r="N244" s="11">
        <v>99</v>
      </c>
      <c r="O244" s="11">
        <v>21</v>
      </c>
      <c r="P244" s="11">
        <v>12</v>
      </c>
      <c r="Q244" s="11">
        <v>66</v>
      </c>
      <c r="R244" s="5">
        <f t="shared" si="12"/>
        <v>0.33333333333333331</v>
      </c>
      <c r="S244" s="13" t="str">
        <f t="shared" si="13"/>
        <v>=&lt;50</v>
      </c>
      <c r="T244" s="14">
        <f t="shared" si="14"/>
        <v>5</v>
      </c>
      <c r="U244" s="14">
        <f t="shared" si="15"/>
        <v>2.5</v>
      </c>
    </row>
    <row r="245" spans="1:21" x14ac:dyDescent="0.25">
      <c r="A245" s="1">
        <v>62410006</v>
      </c>
      <c r="B245" s="1">
        <v>207980</v>
      </c>
      <c r="C245" s="1" t="s">
        <v>604</v>
      </c>
      <c r="D245" s="1" t="s">
        <v>149</v>
      </c>
      <c r="E245" s="1" t="s">
        <v>605</v>
      </c>
      <c r="F245" s="1" t="s">
        <v>76</v>
      </c>
      <c r="G245" s="1" t="s">
        <v>18</v>
      </c>
      <c r="H245" s="1" t="s">
        <v>19</v>
      </c>
      <c r="I245" s="1" t="s">
        <v>164</v>
      </c>
      <c r="J245" s="1" t="s">
        <v>165</v>
      </c>
      <c r="K245" s="1" t="str">
        <f>VLOOKUP(J245,'IU Major Match'!$D$2:$E$65,2,FALSE)</f>
        <v>Can be Transferred to Bachelor of Engineering</v>
      </c>
      <c r="L245" s="1">
        <v>70208307</v>
      </c>
      <c r="M245" s="1" t="s">
        <v>362</v>
      </c>
      <c r="N245" s="11">
        <v>108</v>
      </c>
      <c r="O245" s="11">
        <v>47</v>
      </c>
      <c r="P245" s="11">
        <v>12</v>
      </c>
      <c r="Q245" s="11">
        <v>49</v>
      </c>
      <c r="R245" s="5">
        <f t="shared" si="12"/>
        <v>0.54629629629629628</v>
      </c>
      <c r="S245" s="13" t="str">
        <f t="shared" si="13"/>
        <v>&gt;50</v>
      </c>
      <c r="T245" s="14">
        <f t="shared" si="14"/>
        <v>4</v>
      </c>
      <c r="U245" s="14">
        <f t="shared" si="15"/>
        <v>2</v>
      </c>
    </row>
    <row r="246" spans="1:21" x14ac:dyDescent="0.25">
      <c r="A246" s="1">
        <v>62230154</v>
      </c>
      <c r="B246" s="1">
        <v>186439</v>
      </c>
      <c r="C246" s="1" t="s">
        <v>265</v>
      </c>
      <c r="D246" s="1" t="s">
        <v>119</v>
      </c>
      <c r="E246" s="1" t="s">
        <v>606</v>
      </c>
      <c r="F246" s="1" t="s">
        <v>76</v>
      </c>
      <c r="G246" s="1" t="s">
        <v>23</v>
      </c>
      <c r="H246" s="1" t="s">
        <v>19</v>
      </c>
      <c r="I246" s="1" t="s">
        <v>103</v>
      </c>
      <c r="J246" s="1" t="s">
        <v>104</v>
      </c>
      <c r="K246" s="1" t="str">
        <f>VLOOKUP(J246,'IU Major Match'!$D$2:$E$65,2,FALSE)</f>
        <v xml:space="preserve">Major exists in IU </v>
      </c>
      <c r="L246" s="1">
        <v>79154084</v>
      </c>
      <c r="M246" s="1" t="s">
        <v>153</v>
      </c>
      <c r="N246" s="11">
        <v>100</v>
      </c>
      <c r="O246" s="11">
        <v>90</v>
      </c>
      <c r="P246" s="11">
        <v>10</v>
      </c>
      <c r="Q246" s="11">
        <v>0</v>
      </c>
      <c r="R246" s="5">
        <f t="shared" si="12"/>
        <v>1</v>
      </c>
      <c r="S246" s="13" t="str">
        <f t="shared" si="13"/>
        <v>&gt;50</v>
      </c>
      <c r="T246" s="14">
        <f t="shared" si="14"/>
        <v>0</v>
      </c>
      <c r="U246" s="14">
        <f t="shared" si="15"/>
        <v>0</v>
      </c>
    </row>
    <row r="247" spans="1:21" x14ac:dyDescent="0.25">
      <c r="A247" s="1">
        <v>62530224</v>
      </c>
      <c r="B247" s="1">
        <v>224562</v>
      </c>
      <c r="C247" s="1" t="s">
        <v>265</v>
      </c>
      <c r="D247" s="1" t="s">
        <v>256</v>
      </c>
      <c r="E247" s="1" t="s">
        <v>607</v>
      </c>
      <c r="F247" s="1" t="s">
        <v>76</v>
      </c>
      <c r="G247" s="1" t="s">
        <v>93</v>
      </c>
      <c r="H247" s="1" t="s">
        <v>19</v>
      </c>
      <c r="I247" s="1" t="s">
        <v>124</v>
      </c>
      <c r="J247" s="1" t="s">
        <v>125</v>
      </c>
      <c r="K247" s="1" t="str">
        <f>VLOOKUP(J247,'IU Major Match'!$D$2:$E$65,2,FALSE)</f>
        <v xml:space="preserve">Major exists in IU </v>
      </c>
      <c r="L247" s="1">
        <v>96181422171</v>
      </c>
      <c r="M247" s="1" t="s">
        <v>99</v>
      </c>
      <c r="N247" s="11">
        <v>99</v>
      </c>
      <c r="O247" s="11">
        <v>0</v>
      </c>
      <c r="P247" s="11">
        <v>12</v>
      </c>
      <c r="Q247" s="11">
        <v>87</v>
      </c>
      <c r="R247" s="5">
        <f t="shared" si="12"/>
        <v>0.12121212121212122</v>
      </c>
      <c r="S247" s="13" t="str">
        <f t="shared" si="13"/>
        <v>=&lt;50</v>
      </c>
      <c r="T247" s="14">
        <f t="shared" si="14"/>
        <v>6</v>
      </c>
      <c r="U247" s="14">
        <f t="shared" si="15"/>
        <v>3</v>
      </c>
    </row>
    <row r="248" spans="1:21" x14ac:dyDescent="0.25">
      <c r="A248" s="1">
        <v>62420009</v>
      </c>
      <c r="B248" s="1">
        <v>209237</v>
      </c>
      <c r="C248" s="1" t="s">
        <v>265</v>
      </c>
      <c r="D248" s="1" t="s">
        <v>149</v>
      </c>
      <c r="E248" s="1" t="s">
        <v>608</v>
      </c>
      <c r="F248" s="1" t="s">
        <v>76</v>
      </c>
      <c r="G248" s="1" t="s">
        <v>23</v>
      </c>
      <c r="H248" s="1" t="s">
        <v>19</v>
      </c>
      <c r="I248" s="1" t="s">
        <v>103</v>
      </c>
      <c r="J248" s="1" t="s">
        <v>104</v>
      </c>
      <c r="K248" s="1" t="str">
        <f>VLOOKUP(J248,'IU Major Match'!$D$2:$E$65,2,FALSE)</f>
        <v xml:space="preserve">Major exists in IU </v>
      </c>
      <c r="L248" s="1">
        <v>3529877</v>
      </c>
      <c r="M248" s="1" t="s">
        <v>128</v>
      </c>
      <c r="N248" s="11">
        <v>100</v>
      </c>
      <c r="O248" s="11">
        <v>82</v>
      </c>
      <c r="P248" s="11">
        <v>18</v>
      </c>
      <c r="Q248" s="11">
        <v>0</v>
      </c>
      <c r="R248" s="5">
        <f t="shared" si="12"/>
        <v>1</v>
      </c>
      <c r="S248" s="13" t="str">
        <f t="shared" si="13"/>
        <v>&gt;50</v>
      </c>
      <c r="T248" s="14">
        <f t="shared" si="14"/>
        <v>0</v>
      </c>
      <c r="U248" s="14">
        <f t="shared" si="15"/>
        <v>0</v>
      </c>
    </row>
    <row r="249" spans="1:21" x14ac:dyDescent="0.25">
      <c r="A249" s="1">
        <v>62230006</v>
      </c>
      <c r="B249" s="1">
        <v>186440</v>
      </c>
      <c r="C249" s="1" t="s">
        <v>265</v>
      </c>
      <c r="D249" s="1" t="s">
        <v>609</v>
      </c>
      <c r="E249" s="1" t="s">
        <v>610</v>
      </c>
      <c r="F249" s="1" t="s">
        <v>76</v>
      </c>
      <c r="G249" s="1" t="s">
        <v>18</v>
      </c>
      <c r="H249" s="1" t="s">
        <v>19</v>
      </c>
      <c r="I249" s="1" t="s">
        <v>82</v>
      </c>
      <c r="J249" s="1" t="s">
        <v>83</v>
      </c>
      <c r="K249" s="1" t="str">
        <f>VLOOKUP(J249,'IU Major Match'!$D$2:$E$65,2,FALSE)</f>
        <v>Can be Transferred to Bachelor of Engineering</v>
      </c>
      <c r="L249" s="1">
        <v>76546893</v>
      </c>
      <c r="M249" s="1" t="s">
        <v>153</v>
      </c>
      <c r="N249" s="11">
        <v>108</v>
      </c>
      <c r="O249" s="11">
        <v>15</v>
      </c>
      <c r="P249" s="11">
        <v>13</v>
      </c>
      <c r="Q249" s="11">
        <v>80</v>
      </c>
      <c r="R249" s="5">
        <f t="shared" si="12"/>
        <v>0.25925925925925924</v>
      </c>
      <c r="S249" s="13" t="str">
        <f t="shared" si="13"/>
        <v>=&lt;50</v>
      </c>
      <c r="T249" s="14">
        <f t="shared" si="14"/>
        <v>6</v>
      </c>
      <c r="U249" s="14">
        <f t="shared" si="15"/>
        <v>3</v>
      </c>
    </row>
    <row r="250" spans="1:21" x14ac:dyDescent="0.25">
      <c r="A250" s="1">
        <v>62130181</v>
      </c>
      <c r="B250" s="1">
        <v>168627</v>
      </c>
      <c r="C250" s="1" t="s">
        <v>198</v>
      </c>
      <c r="D250" s="1" t="s">
        <v>312</v>
      </c>
      <c r="E250" s="1" t="s">
        <v>611</v>
      </c>
      <c r="F250" s="1" t="s">
        <v>76</v>
      </c>
      <c r="G250" s="1" t="s">
        <v>18</v>
      </c>
      <c r="H250" s="1" t="s">
        <v>19</v>
      </c>
      <c r="I250" s="1" t="s">
        <v>82</v>
      </c>
      <c r="J250" s="1" t="s">
        <v>83</v>
      </c>
      <c r="K250" s="1" t="str">
        <f>VLOOKUP(J250,'IU Major Match'!$D$2:$E$65,2,FALSE)</f>
        <v>Can be Transferred to Bachelor of Engineering</v>
      </c>
      <c r="L250" s="1">
        <v>71080421</v>
      </c>
      <c r="M250" s="1" t="s">
        <v>79</v>
      </c>
      <c r="N250" s="11">
        <v>108</v>
      </c>
      <c r="O250" s="11">
        <v>31</v>
      </c>
      <c r="P250" s="11">
        <v>9</v>
      </c>
      <c r="Q250" s="11">
        <v>68</v>
      </c>
      <c r="R250" s="5">
        <f t="shared" si="12"/>
        <v>0.37037037037037035</v>
      </c>
      <c r="S250" s="13" t="str">
        <f t="shared" si="13"/>
        <v>=&lt;50</v>
      </c>
      <c r="T250" s="14">
        <f t="shared" si="14"/>
        <v>5</v>
      </c>
      <c r="U250" s="14">
        <f t="shared" si="15"/>
        <v>2.5</v>
      </c>
    </row>
    <row r="251" spans="1:21" x14ac:dyDescent="0.25">
      <c r="A251" s="1">
        <v>22130959</v>
      </c>
      <c r="B251" s="1">
        <v>174977</v>
      </c>
      <c r="C251" s="1" t="s">
        <v>198</v>
      </c>
      <c r="D251" s="1" t="s">
        <v>145</v>
      </c>
      <c r="E251" s="1" t="s">
        <v>521</v>
      </c>
      <c r="F251" s="1" t="s">
        <v>76</v>
      </c>
      <c r="G251" s="1" t="s">
        <v>93</v>
      </c>
      <c r="H251" s="1" t="s">
        <v>19</v>
      </c>
      <c r="I251" s="1" t="s">
        <v>168</v>
      </c>
      <c r="J251" s="1" t="s">
        <v>169</v>
      </c>
      <c r="K251" s="1" t="str">
        <f>VLOOKUP(J251,'IU Major Match'!$D$2:$E$65,2,FALSE)</f>
        <v>Major Dont exists in IU</v>
      </c>
      <c r="L251" s="1">
        <v>71099282</v>
      </c>
      <c r="M251" s="1" t="s">
        <v>79</v>
      </c>
      <c r="N251" s="11">
        <v>99</v>
      </c>
      <c r="O251" s="11">
        <v>78</v>
      </c>
      <c r="P251" s="11">
        <v>12</v>
      </c>
      <c r="Q251" s="11">
        <v>9</v>
      </c>
      <c r="R251" s="5">
        <f t="shared" si="12"/>
        <v>0.90909090909090906</v>
      </c>
      <c r="S251" s="13" t="str">
        <f t="shared" si="13"/>
        <v>&gt;50</v>
      </c>
      <c r="T251" s="14">
        <f t="shared" si="14"/>
        <v>1</v>
      </c>
      <c r="U251" s="14">
        <f t="shared" si="15"/>
        <v>0.5</v>
      </c>
    </row>
    <row r="252" spans="1:21" x14ac:dyDescent="0.25">
      <c r="A252" s="1">
        <v>62330050</v>
      </c>
      <c r="B252" s="1">
        <v>198760</v>
      </c>
      <c r="C252" s="1" t="s">
        <v>198</v>
      </c>
      <c r="D252" s="1" t="s">
        <v>325</v>
      </c>
      <c r="E252" s="1" t="s">
        <v>612</v>
      </c>
      <c r="F252" s="1" t="s">
        <v>76</v>
      </c>
      <c r="G252" s="1" t="s">
        <v>23</v>
      </c>
      <c r="H252" s="1" t="s">
        <v>19</v>
      </c>
      <c r="I252" s="1" t="s">
        <v>103</v>
      </c>
      <c r="J252" s="1" t="s">
        <v>104</v>
      </c>
      <c r="K252" s="1" t="str">
        <f>VLOOKUP(J252,'IU Major Match'!$D$2:$E$65,2,FALSE)</f>
        <v xml:space="preserve">Major exists in IU </v>
      </c>
      <c r="L252" s="1">
        <v>3498614</v>
      </c>
      <c r="M252" s="1" t="s">
        <v>90</v>
      </c>
      <c r="N252" s="11">
        <v>100</v>
      </c>
      <c r="O252" s="11">
        <v>78</v>
      </c>
      <c r="P252" s="11">
        <v>19</v>
      </c>
      <c r="Q252" s="11">
        <v>3</v>
      </c>
      <c r="R252" s="5">
        <f t="shared" si="12"/>
        <v>0.97</v>
      </c>
      <c r="S252" s="13" t="str">
        <f t="shared" si="13"/>
        <v>&gt;50</v>
      </c>
      <c r="T252" s="14">
        <f t="shared" si="14"/>
        <v>1</v>
      </c>
      <c r="U252" s="14">
        <f t="shared" si="15"/>
        <v>0.5</v>
      </c>
    </row>
    <row r="253" spans="1:21" x14ac:dyDescent="0.25">
      <c r="A253" s="1">
        <v>62430178</v>
      </c>
      <c r="B253" s="1">
        <v>212221</v>
      </c>
      <c r="C253" s="1" t="s">
        <v>198</v>
      </c>
      <c r="D253" s="1" t="s">
        <v>204</v>
      </c>
      <c r="E253" s="1" t="s">
        <v>252</v>
      </c>
      <c r="F253" s="1" t="s">
        <v>76</v>
      </c>
      <c r="G253" s="1" t="s">
        <v>93</v>
      </c>
      <c r="H253" s="1" t="s">
        <v>19</v>
      </c>
      <c r="I253" s="1" t="s">
        <v>107</v>
      </c>
      <c r="J253" s="1" t="s">
        <v>108</v>
      </c>
      <c r="K253" s="1" t="str">
        <f>VLOOKUP(J253,'IU Major Match'!$D$2:$E$65,2,FALSE)</f>
        <v xml:space="preserve">Major exists in IU </v>
      </c>
      <c r="L253" s="1">
        <v>81281625</v>
      </c>
      <c r="M253" s="1" t="s">
        <v>113</v>
      </c>
      <c r="N253" s="11">
        <v>99</v>
      </c>
      <c r="O253" s="11">
        <v>18</v>
      </c>
      <c r="P253" s="11">
        <v>13</v>
      </c>
      <c r="Q253" s="11">
        <v>72</v>
      </c>
      <c r="R253" s="5">
        <f t="shared" si="12"/>
        <v>0.31313131313131315</v>
      </c>
      <c r="S253" s="13" t="str">
        <f t="shared" si="13"/>
        <v>=&lt;50</v>
      </c>
      <c r="T253" s="14">
        <f t="shared" si="14"/>
        <v>5</v>
      </c>
      <c r="U253" s="14">
        <f t="shared" si="15"/>
        <v>2.5</v>
      </c>
    </row>
    <row r="254" spans="1:21" x14ac:dyDescent="0.25">
      <c r="A254" s="1">
        <v>62330217</v>
      </c>
      <c r="B254" s="1">
        <v>202632</v>
      </c>
      <c r="C254" s="1" t="s">
        <v>613</v>
      </c>
      <c r="D254" s="1" t="s">
        <v>86</v>
      </c>
      <c r="E254" s="1" t="s">
        <v>614</v>
      </c>
      <c r="F254" s="1" t="s">
        <v>76</v>
      </c>
      <c r="G254" s="1" t="s">
        <v>23</v>
      </c>
      <c r="H254" s="1" t="s">
        <v>19</v>
      </c>
      <c r="I254" s="1" t="s">
        <v>103</v>
      </c>
      <c r="J254" s="1" t="s">
        <v>104</v>
      </c>
      <c r="K254" s="1" t="str">
        <f>VLOOKUP(J254,'IU Major Match'!$D$2:$E$65,2,FALSE)</f>
        <v xml:space="preserve">Major exists in IU </v>
      </c>
      <c r="L254" s="1">
        <v>96181558994</v>
      </c>
      <c r="M254" s="1" t="s">
        <v>90</v>
      </c>
      <c r="N254" s="11">
        <v>100</v>
      </c>
      <c r="O254" s="11">
        <v>18</v>
      </c>
      <c r="P254" s="11">
        <v>16</v>
      </c>
      <c r="Q254" s="11">
        <v>66</v>
      </c>
      <c r="R254" s="5">
        <f t="shared" si="12"/>
        <v>0.34</v>
      </c>
      <c r="S254" s="13" t="str">
        <f t="shared" si="13"/>
        <v>=&lt;50</v>
      </c>
      <c r="T254" s="14">
        <f t="shared" si="14"/>
        <v>5</v>
      </c>
      <c r="U254" s="14">
        <f t="shared" si="15"/>
        <v>2.5</v>
      </c>
    </row>
    <row r="255" spans="1:21" x14ac:dyDescent="0.25">
      <c r="A255" s="1">
        <v>62530207</v>
      </c>
      <c r="B255" s="1">
        <v>223909</v>
      </c>
      <c r="C255" s="1" t="s">
        <v>615</v>
      </c>
      <c r="D255" s="1" t="s">
        <v>261</v>
      </c>
      <c r="E255" s="1" t="s">
        <v>616</v>
      </c>
      <c r="F255" s="1" t="s">
        <v>76</v>
      </c>
      <c r="G255" s="1" t="s">
        <v>93</v>
      </c>
      <c r="H255" s="1" t="s">
        <v>19</v>
      </c>
      <c r="I255" s="1" t="s">
        <v>349</v>
      </c>
      <c r="J255" s="1" t="s">
        <v>350</v>
      </c>
      <c r="K255" s="1" t="str">
        <f>VLOOKUP(J255,'IU Major Match'!$D$2:$E$65,2,FALSE)</f>
        <v xml:space="preserve">Major exists in IU </v>
      </c>
      <c r="L255" s="1">
        <v>3123779</v>
      </c>
      <c r="M255" s="1" t="s">
        <v>99</v>
      </c>
      <c r="N255" s="11">
        <v>99</v>
      </c>
      <c r="O255" s="11">
        <v>3</v>
      </c>
      <c r="P255" s="11">
        <v>12</v>
      </c>
      <c r="Q255" s="11">
        <v>84</v>
      </c>
      <c r="R255" s="5">
        <f t="shared" si="12"/>
        <v>0.15151515151515152</v>
      </c>
      <c r="S255" s="13" t="str">
        <f t="shared" si="13"/>
        <v>=&lt;50</v>
      </c>
      <c r="T255" s="14">
        <f t="shared" si="14"/>
        <v>6</v>
      </c>
      <c r="U255" s="14">
        <f t="shared" si="15"/>
        <v>3</v>
      </c>
    </row>
    <row r="256" spans="1:21" x14ac:dyDescent="0.25">
      <c r="A256" s="1">
        <v>62410018</v>
      </c>
      <c r="B256" s="1">
        <v>208215</v>
      </c>
      <c r="C256" s="1" t="s">
        <v>615</v>
      </c>
      <c r="D256" s="1" t="s">
        <v>617</v>
      </c>
      <c r="E256" s="1" t="s">
        <v>618</v>
      </c>
      <c r="F256" s="1" t="s">
        <v>76</v>
      </c>
      <c r="G256" s="1" t="s">
        <v>23</v>
      </c>
      <c r="H256" s="1" t="s">
        <v>19</v>
      </c>
      <c r="I256" s="1" t="s">
        <v>103</v>
      </c>
      <c r="J256" s="1" t="s">
        <v>104</v>
      </c>
      <c r="K256" s="1" t="str">
        <f>VLOOKUP(J256,'IU Major Match'!$D$2:$E$65,2,FALSE)</f>
        <v xml:space="preserve">Major exists in IU </v>
      </c>
      <c r="L256" s="1">
        <v>71688628</v>
      </c>
      <c r="M256" s="1" t="s">
        <v>362</v>
      </c>
      <c r="N256" s="11">
        <v>100</v>
      </c>
      <c r="O256" s="11">
        <v>63</v>
      </c>
      <c r="P256" s="11">
        <v>12</v>
      </c>
      <c r="Q256" s="11">
        <v>25</v>
      </c>
      <c r="R256" s="5">
        <f t="shared" si="12"/>
        <v>0.75</v>
      </c>
      <c r="S256" s="13" t="str">
        <f t="shared" si="13"/>
        <v>&gt;50</v>
      </c>
      <c r="T256" s="14">
        <f t="shared" si="14"/>
        <v>2</v>
      </c>
      <c r="U256" s="14">
        <f t="shared" si="15"/>
        <v>1</v>
      </c>
    </row>
    <row r="257" spans="1:21" x14ac:dyDescent="0.25">
      <c r="A257" s="1">
        <v>62530227</v>
      </c>
      <c r="B257" s="1">
        <v>224529</v>
      </c>
      <c r="C257" s="1" t="s">
        <v>619</v>
      </c>
      <c r="D257" s="1" t="s">
        <v>92</v>
      </c>
      <c r="E257" s="1" t="s">
        <v>620</v>
      </c>
      <c r="F257" s="1" t="s">
        <v>76</v>
      </c>
      <c r="G257" s="1" t="s">
        <v>93</v>
      </c>
      <c r="H257" s="1" t="s">
        <v>19</v>
      </c>
      <c r="I257" s="1" t="s">
        <v>216</v>
      </c>
      <c r="J257" s="1" t="s">
        <v>217</v>
      </c>
      <c r="K257" s="1" t="str">
        <f>VLOOKUP(J257,'IU Major Match'!$D$2:$E$65,2,FALSE)</f>
        <v xml:space="preserve">Major exists in IU </v>
      </c>
      <c r="L257" s="1">
        <v>96176982112</v>
      </c>
      <c r="M257" s="1" t="s">
        <v>99</v>
      </c>
      <c r="N257" s="11">
        <v>99</v>
      </c>
      <c r="O257" s="11">
        <v>0</v>
      </c>
      <c r="P257" s="11">
        <v>7</v>
      </c>
      <c r="Q257" s="11">
        <v>99</v>
      </c>
      <c r="R257" s="5">
        <f t="shared" si="12"/>
        <v>7.0707070707070704E-2</v>
      </c>
      <c r="S257" s="13" t="str">
        <f t="shared" si="13"/>
        <v>=&lt;50</v>
      </c>
      <c r="T257" s="14">
        <f t="shared" si="14"/>
        <v>7</v>
      </c>
      <c r="U257" s="14">
        <f t="shared" si="15"/>
        <v>3.5</v>
      </c>
    </row>
    <row r="258" spans="1:21" x14ac:dyDescent="0.25">
      <c r="A258" s="1">
        <v>62030377</v>
      </c>
      <c r="B258" s="1">
        <v>160990</v>
      </c>
      <c r="C258" s="1" t="s">
        <v>621</v>
      </c>
      <c r="D258" s="1" t="s">
        <v>466</v>
      </c>
      <c r="E258" s="1" t="s">
        <v>622</v>
      </c>
      <c r="F258" s="1" t="s">
        <v>76</v>
      </c>
      <c r="G258" s="1" t="s">
        <v>23</v>
      </c>
      <c r="H258" s="1" t="s">
        <v>19</v>
      </c>
      <c r="I258" s="1" t="s">
        <v>103</v>
      </c>
      <c r="J258" s="1" t="s">
        <v>104</v>
      </c>
      <c r="K258" s="1" t="str">
        <f>VLOOKUP(J258,'IU Major Match'!$D$2:$E$65,2,FALSE)</f>
        <v xml:space="preserve">Major exists in IU </v>
      </c>
      <c r="L258" s="1">
        <v>70548109</v>
      </c>
      <c r="M258" s="1" t="s">
        <v>51</v>
      </c>
      <c r="N258" s="11">
        <v>100</v>
      </c>
      <c r="O258" s="11">
        <v>93</v>
      </c>
      <c r="P258" s="11">
        <v>7</v>
      </c>
      <c r="Q258" s="11">
        <v>0</v>
      </c>
      <c r="R258" s="5">
        <f t="shared" si="12"/>
        <v>1</v>
      </c>
      <c r="S258" s="13" t="str">
        <f t="shared" si="13"/>
        <v>&gt;50</v>
      </c>
      <c r="T258" s="14">
        <f t="shared" si="14"/>
        <v>0</v>
      </c>
      <c r="U258" s="14">
        <f t="shared" si="15"/>
        <v>0</v>
      </c>
    </row>
    <row r="259" spans="1:21" x14ac:dyDescent="0.25">
      <c r="A259" s="1">
        <v>62530078</v>
      </c>
      <c r="B259" s="1">
        <v>219801</v>
      </c>
      <c r="C259" s="1" t="s">
        <v>623</v>
      </c>
      <c r="D259" s="1" t="s">
        <v>296</v>
      </c>
      <c r="E259" s="1" t="s">
        <v>624</v>
      </c>
      <c r="F259" s="1" t="s">
        <v>76</v>
      </c>
      <c r="G259" s="1" t="s">
        <v>93</v>
      </c>
      <c r="H259" s="1" t="s">
        <v>19</v>
      </c>
      <c r="I259" s="1" t="s">
        <v>124</v>
      </c>
      <c r="J259" s="1" t="s">
        <v>125</v>
      </c>
      <c r="K259" s="1" t="str">
        <f>VLOOKUP(J259,'IU Major Match'!$D$2:$E$65,2,FALSE)</f>
        <v xml:space="preserve">Major exists in IU </v>
      </c>
      <c r="L259" s="1">
        <v>76384969</v>
      </c>
      <c r="M259" s="1" t="s">
        <v>99</v>
      </c>
      <c r="N259" s="11">
        <v>99</v>
      </c>
      <c r="O259" s="11">
        <v>15</v>
      </c>
      <c r="P259" s="11">
        <v>18</v>
      </c>
      <c r="Q259" s="11">
        <v>66</v>
      </c>
      <c r="R259" s="5">
        <f t="shared" ref="R259:R322" si="16">(O259+P259)/N259</f>
        <v>0.33333333333333331</v>
      </c>
      <c r="S259" s="13" t="str">
        <f t="shared" ref="S259:S322" si="17">IF(R259&lt;=50%,"=&lt;50","&gt;50")</f>
        <v>=&lt;50</v>
      </c>
      <c r="T259" s="14">
        <f t="shared" ref="T259:T322" si="18">ROUNDUP(Q259/15,0)</f>
        <v>5</v>
      </c>
      <c r="U259" s="14">
        <f t="shared" ref="U259:U322" si="19">T259/2</f>
        <v>2.5</v>
      </c>
    </row>
    <row r="260" spans="1:21" x14ac:dyDescent="0.25">
      <c r="A260" s="1">
        <v>62510019</v>
      </c>
      <c r="B260" s="1">
        <v>217693</v>
      </c>
      <c r="C260" s="1" t="s">
        <v>625</v>
      </c>
      <c r="D260" s="1" t="s">
        <v>626</v>
      </c>
      <c r="E260" s="1" t="s">
        <v>627</v>
      </c>
      <c r="F260" s="1" t="s">
        <v>76</v>
      </c>
      <c r="G260" s="1" t="s">
        <v>93</v>
      </c>
      <c r="H260" s="1" t="s">
        <v>19</v>
      </c>
      <c r="I260" s="1" t="s">
        <v>184</v>
      </c>
      <c r="J260" s="1" t="s">
        <v>185</v>
      </c>
      <c r="K260" s="1" t="str">
        <f>VLOOKUP(J260,'IU Major Match'!$D$2:$E$65,2,FALSE)</f>
        <v>Major Dont exists in IU</v>
      </c>
      <c r="L260" s="1">
        <v>71863445</v>
      </c>
      <c r="M260" s="1" t="s">
        <v>242</v>
      </c>
      <c r="N260" s="11">
        <v>99</v>
      </c>
      <c r="O260" s="11">
        <v>18</v>
      </c>
      <c r="P260" s="11">
        <v>15</v>
      </c>
      <c r="Q260" s="11">
        <v>66</v>
      </c>
      <c r="R260" s="5">
        <f t="shared" si="16"/>
        <v>0.33333333333333331</v>
      </c>
      <c r="S260" s="13" t="str">
        <f t="shared" si="17"/>
        <v>=&lt;50</v>
      </c>
      <c r="T260" s="14">
        <f t="shared" si="18"/>
        <v>5</v>
      </c>
      <c r="U260" s="14">
        <f t="shared" si="19"/>
        <v>2.5</v>
      </c>
    </row>
    <row r="261" spans="1:21" x14ac:dyDescent="0.25">
      <c r="A261" s="1">
        <v>62430251</v>
      </c>
      <c r="B261" s="1">
        <v>214097</v>
      </c>
      <c r="C261" s="1" t="s">
        <v>628</v>
      </c>
      <c r="D261" s="1" t="s">
        <v>629</v>
      </c>
      <c r="E261" s="1" t="s">
        <v>630</v>
      </c>
      <c r="F261" s="1" t="s">
        <v>76</v>
      </c>
      <c r="G261" s="1" t="s">
        <v>23</v>
      </c>
      <c r="H261" s="1" t="s">
        <v>19</v>
      </c>
      <c r="I261" s="1" t="s">
        <v>88</v>
      </c>
      <c r="J261" s="1" t="s">
        <v>89</v>
      </c>
      <c r="K261" s="1" t="str">
        <f>VLOOKUP(J261,'IU Major Match'!$D$2:$E$65,2,FALSE)</f>
        <v xml:space="preserve">Major exists in IU </v>
      </c>
      <c r="L261" s="1">
        <v>81482057</v>
      </c>
      <c r="M261" s="1" t="s">
        <v>113</v>
      </c>
      <c r="N261" s="11">
        <v>99</v>
      </c>
      <c r="O261" s="11">
        <v>15</v>
      </c>
      <c r="P261" s="11">
        <v>12</v>
      </c>
      <c r="Q261" s="11">
        <v>72</v>
      </c>
      <c r="R261" s="5">
        <f t="shared" si="16"/>
        <v>0.27272727272727271</v>
      </c>
      <c r="S261" s="13" t="str">
        <f t="shared" si="17"/>
        <v>=&lt;50</v>
      </c>
      <c r="T261" s="14">
        <f t="shared" si="18"/>
        <v>5</v>
      </c>
      <c r="U261" s="14">
        <f t="shared" si="19"/>
        <v>2.5</v>
      </c>
    </row>
    <row r="262" spans="1:21" x14ac:dyDescent="0.25">
      <c r="A262" s="1">
        <v>62310015</v>
      </c>
      <c r="B262" s="1">
        <v>196947</v>
      </c>
      <c r="C262" s="1" t="s">
        <v>631</v>
      </c>
      <c r="D262" s="1" t="s">
        <v>354</v>
      </c>
      <c r="E262" s="1" t="s">
        <v>551</v>
      </c>
      <c r="F262" s="1" t="s">
        <v>76</v>
      </c>
      <c r="G262" s="1" t="s">
        <v>93</v>
      </c>
      <c r="H262" s="1" t="s">
        <v>19</v>
      </c>
      <c r="I262" s="1" t="s">
        <v>94</v>
      </c>
      <c r="J262" s="1" t="s">
        <v>95</v>
      </c>
      <c r="K262" s="1" t="str">
        <f>VLOOKUP(J262,'IU Major Match'!$D$2:$E$65,2,FALSE)</f>
        <v xml:space="preserve">Major exists in IU </v>
      </c>
      <c r="L262" s="1">
        <v>81297185</v>
      </c>
      <c r="M262" s="1" t="s">
        <v>178</v>
      </c>
      <c r="N262" s="11">
        <v>99</v>
      </c>
      <c r="O262" s="11">
        <v>63</v>
      </c>
      <c r="P262" s="11">
        <v>15</v>
      </c>
      <c r="Q262" s="11">
        <v>21</v>
      </c>
      <c r="R262" s="5">
        <f t="shared" si="16"/>
        <v>0.78787878787878785</v>
      </c>
      <c r="S262" s="13" t="str">
        <f t="shared" si="17"/>
        <v>&gt;50</v>
      </c>
      <c r="T262" s="14">
        <f t="shared" si="18"/>
        <v>2</v>
      </c>
      <c r="U262" s="14">
        <f t="shared" si="19"/>
        <v>1</v>
      </c>
    </row>
    <row r="263" spans="1:21" x14ac:dyDescent="0.25">
      <c r="A263" s="1">
        <v>62410030</v>
      </c>
      <c r="B263" s="1">
        <v>208212</v>
      </c>
      <c r="C263" s="1" t="s">
        <v>632</v>
      </c>
      <c r="D263" s="1" t="s">
        <v>597</v>
      </c>
      <c r="E263" s="1" t="s">
        <v>598</v>
      </c>
      <c r="F263" s="1" t="s">
        <v>76</v>
      </c>
      <c r="G263" s="1" t="s">
        <v>93</v>
      </c>
      <c r="H263" s="1" t="s">
        <v>19</v>
      </c>
      <c r="I263" s="1" t="s">
        <v>107</v>
      </c>
      <c r="J263" s="1" t="s">
        <v>108</v>
      </c>
      <c r="K263" s="1" t="str">
        <f>VLOOKUP(J263,'IU Major Match'!$D$2:$E$65,2,FALSE)</f>
        <v xml:space="preserve">Major exists in IU </v>
      </c>
      <c r="L263" s="1">
        <v>96178931938</v>
      </c>
      <c r="M263" s="1" t="s">
        <v>362</v>
      </c>
      <c r="N263" s="11">
        <v>99</v>
      </c>
      <c r="O263" s="11">
        <v>69</v>
      </c>
      <c r="P263" s="11">
        <v>18</v>
      </c>
      <c r="Q263" s="11">
        <v>12</v>
      </c>
      <c r="R263" s="5">
        <f t="shared" si="16"/>
        <v>0.87878787878787878</v>
      </c>
      <c r="S263" s="13" t="str">
        <f t="shared" si="17"/>
        <v>&gt;50</v>
      </c>
      <c r="T263" s="14">
        <f t="shared" si="18"/>
        <v>1</v>
      </c>
      <c r="U263" s="14">
        <f t="shared" si="19"/>
        <v>0.5</v>
      </c>
    </row>
    <row r="264" spans="1:21" x14ac:dyDescent="0.25">
      <c r="A264" s="1">
        <v>62430102</v>
      </c>
      <c r="B264" s="1">
        <v>210052</v>
      </c>
      <c r="C264" s="1" t="s">
        <v>633</v>
      </c>
      <c r="D264" s="1" t="s">
        <v>451</v>
      </c>
      <c r="E264" s="1" t="s">
        <v>634</v>
      </c>
      <c r="F264" s="1" t="s">
        <v>76</v>
      </c>
      <c r="G264" s="1" t="s">
        <v>68</v>
      </c>
      <c r="H264" s="1" t="s">
        <v>19</v>
      </c>
      <c r="I264" s="1" t="s">
        <v>331</v>
      </c>
      <c r="J264" s="1" t="s">
        <v>332</v>
      </c>
      <c r="K264" s="1" t="str">
        <f>VLOOKUP(J264,'IU Major Match'!$D$2:$E$65,2,FALSE)</f>
        <v>Major Dont exists in IU</v>
      </c>
      <c r="L264" s="1">
        <v>71074847</v>
      </c>
      <c r="M264" s="1" t="s">
        <v>113</v>
      </c>
      <c r="N264" s="11">
        <v>99</v>
      </c>
      <c r="O264" s="11">
        <v>30</v>
      </c>
      <c r="P264" s="11">
        <v>12</v>
      </c>
      <c r="Q264" s="11">
        <v>57</v>
      </c>
      <c r="R264" s="5">
        <f t="shared" si="16"/>
        <v>0.42424242424242425</v>
      </c>
      <c r="S264" s="13" t="str">
        <f t="shared" si="17"/>
        <v>=&lt;50</v>
      </c>
      <c r="T264" s="14">
        <f t="shared" si="18"/>
        <v>4</v>
      </c>
      <c r="U264" s="14">
        <f t="shared" si="19"/>
        <v>2</v>
      </c>
    </row>
    <row r="265" spans="1:21" x14ac:dyDescent="0.25">
      <c r="A265" s="1">
        <v>62330051</v>
      </c>
      <c r="B265" s="1">
        <v>199056</v>
      </c>
      <c r="C265" s="1" t="s">
        <v>633</v>
      </c>
      <c r="D265" s="1" t="s">
        <v>635</v>
      </c>
      <c r="E265" s="1" t="s">
        <v>584</v>
      </c>
      <c r="F265" s="1" t="s">
        <v>76</v>
      </c>
      <c r="G265" s="1" t="s">
        <v>93</v>
      </c>
      <c r="H265" s="1" t="s">
        <v>19</v>
      </c>
      <c r="I265" s="1" t="s">
        <v>94</v>
      </c>
      <c r="J265" s="1" t="s">
        <v>95</v>
      </c>
      <c r="K265" s="1" t="str">
        <f>VLOOKUP(J265,'IU Major Match'!$D$2:$E$65,2,FALSE)</f>
        <v xml:space="preserve">Major exists in IU </v>
      </c>
      <c r="L265" s="1">
        <v>76185723</v>
      </c>
      <c r="M265" s="1" t="s">
        <v>90</v>
      </c>
      <c r="N265" s="11">
        <v>99</v>
      </c>
      <c r="O265" s="11">
        <v>84</v>
      </c>
      <c r="P265" s="11">
        <v>15</v>
      </c>
      <c r="Q265" s="11">
        <v>0</v>
      </c>
      <c r="R265" s="5">
        <f t="shared" si="16"/>
        <v>1</v>
      </c>
      <c r="S265" s="13" t="str">
        <f t="shared" si="17"/>
        <v>&gt;50</v>
      </c>
      <c r="T265" s="14">
        <f t="shared" si="18"/>
        <v>0</v>
      </c>
      <c r="U265" s="14">
        <f t="shared" si="19"/>
        <v>0</v>
      </c>
    </row>
    <row r="266" spans="1:21" x14ac:dyDescent="0.25">
      <c r="A266" s="1">
        <v>62530134</v>
      </c>
      <c r="B266" s="1">
        <v>220986</v>
      </c>
      <c r="C266" s="1" t="s">
        <v>636</v>
      </c>
      <c r="D266" s="1" t="s">
        <v>149</v>
      </c>
      <c r="E266" s="1" t="s">
        <v>637</v>
      </c>
      <c r="F266" s="1" t="s">
        <v>76</v>
      </c>
      <c r="G266" s="1" t="s">
        <v>585</v>
      </c>
      <c r="H266" s="1" t="s">
        <v>19</v>
      </c>
      <c r="I266" s="1" t="s">
        <v>586</v>
      </c>
      <c r="J266" s="1" t="s">
        <v>587</v>
      </c>
      <c r="K266" s="1" t="str">
        <f>VLOOKUP(J266,'IU Major Match'!$D$2:$E$65,2,FALSE)</f>
        <v xml:space="preserve">Major exists in IU </v>
      </c>
      <c r="L266" s="1">
        <v>71836825</v>
      </c>
      <c r="M266" s="1" t="s">
        <v>99</v>
      </c>
      <c r="N266" s="11">
        <v>31</v>
      </c>
      <c r="O266" s="11">
        <v>16</v>
      </c>
      <c r="P266" s="11">
        <v>15</v>
      </c>
      <c r="Q266" s="11">
        <v>0</v>
      </c>
      <c r="R266" s="5">
        <f t="shared" si="16"/>
        <v>1</v>
      </c>
      <c r="S266" s="13" t="str">
        <f t="shared" si="17"/>
        <v>&gt;50</v>
      </c>
      <c r="T266" s="14">
        <f t="shared" si="18"/>
        <v>0</v>
      </c>
      <c r="U266" s="14">
        <f t="shared" si="19"/>
        <v>0</v>
      </c>
    </row>
    <row r="267" spans="1:21" x14ac:dyDescent="0.25">
      <c r="A267" s="1">
        <v>62330224</v>
      </c>
      <c r="B267" s="1">
        <v>203170</v>
      </c>
      <c r="C267" s="1" t="s">
        <v>638</v>
      </c>
      <c r="D267" s="1" t="s">
        <v>513</v>
      </c>
      <c r="E267" s="1" t="s">
        <v>639</v>
      </c>
      <c r="F267" s="1" t="s">
        <v>76</v>
      </c>
      <c r="G267" s="1" t="s">
        <v>23</v>
      </c>
      <c r="H267" s="1" t="s">
        <v>19</v>
      </c>
      <c r="I267" s="1" t="s">
        <v>116</v>
      </c>
      <c r="J267" s="1" t="s">
        <v>117</v>
      </c>
      <c r="K267" s="1" t="str">
        <f>VLOOKUP(J267,'IU Major Match'!$D$2:$E$65,2,FALSE)</f>
        <v>Major Dont exists in IU</v>
      </c>
      <c r="L267" s="1">
        <v>9613927129</v>
      </c>
      <c r="M267" s="1" t="s">
        <v>90</v>
      </c>
      <c r="N267" s="11">
        <v>99</v>
      </c>
      <c r="O267" s="11">
        <v>62</v>
      </c>
      <c r="P267" s="11">
        <v>13</v>
      </c>
      <c r="Q267" s="11">
        <v>24</v>
      </c>
      <c r="R267" s="5">
        <f t="shared" si="16"/>
        <v>0.75757575757575757</v>
      </c>
      <c r="S267" s="13" t="str">
        <f t="shared" si="17"/>
        <v>&gt;50</v>
      </c>
      <c r="T267" s="14">
        <f t="shared" si="18"/>
        <v>2</v>
      </c>
      <c r="U267" s="14">
        <f t="shared" si="19"/>
        <v>1</v>
      </c>
    </row>
    <row r="268" spans="1:21" x14ac:dyDescent="0.25">
      <c r="A268" s="1">
        <v>62430131</v>
      </c>
      <c r="B268" s="1">
        <v>212449</v>
      </c>
      <c r="C268" s="1" t="s">
        <v>640</v>
      </c>
      <c r="D268" s="1" t="s">
        <v>641</v>
      </c>
      <c r="E268" s="1" t="s">
        <v>365</v>
      </c>
      <c r="F268" s="1" t="s">
        <v>76</v>
      </c>
      <c r="G268" s="1" t="s">
        <v>23</v>
      </c>
      <c r="H268" s="1" t="s">
        <v>19</v>
      </c>
      <c r="I268" s="1" t="s">
        <v>103</v>
      </c>
      <c r="J268" s="1" t="s">
        <v>104</v>
      </c>
      <c r="K268" s="1" t="str">
        <f>VLOOKUP(J268,'IU Major Match'!$D$2:$E$65,2,FALSE)</f>
        <v xml:space="preserve">Major exists in IU </v>
      </c>
      <c r="L268" s="1">
        <v>96171484792</v>
      </c>
      <c r="M268" s="1" t="s">
        <v>113</v>
      </c>
      <c r="N268" s="11">
        <v>100</v>
      </c>
      <c r="O268" s="11">
        <v>27</v>
      </c>
      <c r="P268" s="11">
        <v>10</v>
      </c>
      <c r="Q268" s="11">
        <v>63</v>
      </c>
      <c r="R268" s="5">
        <f t="shared" si="16"/>
        <v>0.37</v>
      </c>
      <c r="S268" s="13" t="str">
        <f t="shared" si="17"/>
        <v>=&lt;50</v>
      </c>
      <c r="T268" s="14">
        <f t="shared" si="18"/>
        <v>5</v>
      </c>
      <c r="U268" s="14">
        <f t="shared" si="19"/>
        <v>2.5</v>
      </c>
    </row>
    <row r="269" spans="1:21" x14ac:dyDescent="0.25">
      <c r="A269" s="1">
        <v>62230377</v>
      </c>
      <c r="B269" s="1">
        <v>193104</v>
      </c>
      <c r="C269" s="1" t="s">
        <v>40</v>
      </c>
      <c r="D269" s="1" t="s">
        <v>285</v>
      </c>
      <c r="E269" s="1" t="s">
        <v>286</v>
      </c>
      <c r="F269" s="1" t="s">
        <v>76</v>
      </c>
      <c r="G269" s="1" t="s">
        <v>93</v>
      </c>
      <c r="H269" s="1" t="s">
        <v>19</v>
      </c>
      <c r="I269" s="1" t="s">
        <v>94</v>
      </c>
      <c r="J269" s="1" t="s">
        <v>95</v>
      </c>
      <c r="K269" s="1" t="str">
        <f>VLOOKUP(J269,'IU Major Match'!$D$2:$E$65,2,FALSE)</f>
        <v xml:space="preserve">Major exists in IU </v>
      </c>
      <c r="L269" s="1">
        <v>81208919</v>
      </c>
      <c r="M269" s="1" t="s">
        <v>153</v>
      </c>
      <c r="N269" s="11">
        <v>99</v>
      </c>
      <c r="O269" s="11">
        <v>90</v>
      </c>
      <c r="P269" s="11">
        <v>12</v>
      </c>
      <c r="Q269" s="11">
        <v>0</v>
      </c>
      <c r="R269" s="5">
        <f t="shared" si="16"/>
        <v>1.0303030303030303</v>
      </c>
      <c r="S269" s="13" t="str">
        <f t="shared" si="17"/>
        <v>&gt;50</v>
      </c>
      <c r="T269" s="14">
        <f t="shared" si="18"/>
        <v>0</v>
      </c>
      <c r="U269" s="14">
        <f t="shared" si="19"/>
        <v>0</v>
      </c>
    </row>
    <row r="270" spans="1:21" x14ac:dyDescent="0.25">
      <c r="A270" s="1">
        <v>62610032</v>
      </c>
      <c r="B270" s="1">
        <v>227695</v>
      </c>
      <c r="C270" s="1" t="s">
        <v>40</v>
      </c>
      <c r="D270" s="1" t="s">
        <v>24</v>
      </c>
      <c r="E270" s="1" t="s">
        <v>28</v>
      </c>
      <c r="F270" s="1" t="s">
        <v>76</v>
      </c>
      <c r="G270" s="1" t="s">
        <v>23</v>
      </c>
      <c r="H270" s="1" t="s">
        <v>19</v>
      </c>
      <c r="I270" s="1" t="s">
        <v>142</v>
      </c>
      <c r="J270" s="1" t="s">
        <v>143</v>
      </c>
      <c r="K270" s="1" t="str">
        <f>VLOOKUP(J270,'IU Major Match'!$D$2:$E$65,2,FALSE)</f>
        <v xml:space="preserve">Major exists in IU </v>
      </c>
      <c r="L270" s="1">
        <v>96179115883</v>
      </c>
      <c r="M270" s="1" t="s">
        <v>84</v>
      </c>
      <c r="N270" s="11">
        <v>99</v>
      </c>
      <c r="O270" s="11">
        <v>0</v>
      </c>
      <c r="P270" s="11">
        <v>12</v>
      </c>
      <c r="Q270" s="11">
        <v>93</v>
      </c>
      <c r="R270" s="5">
        <f t="shared" si="16"/>
        <v>0.12121212121212122</v>
      </c>
      <c r="S270" s="13" t="str">
        <f t="shared" si="17"/>
        <v>=&lt;50</v>
      </c>
      <c r="T270" s="14">
        <f t="shared" si="18"/>
        <v>7</v>
      </c>
      <c r="U270" s="14">
        <f t="shared" si="19"/>
        <v>3.5</v>
      </c>
    </row>
    <row r="271" spans="1:21" x14ac:dyDescent="0.25">
      <c r="A271" s="1">
        <v>62030350</v>
      </c>
      <c r="B271" s="1">
        <v>160110</v>
      </c>
      <c r="C271" s="1" t="s">
        <v>40</v>
      </c>
      <c r="D271" s="1" t="s">
        <v>296</v>
      </c>
      <c r="E271" s="1" t="s">
        <v>642</v>
      </c>
      <c r="F271" s="1" t="s">
        <v>76</v>
      </c>
      <c r="G271" s="1" t="s">
        <v>93</v>
      </c>
      <c r="H271" s="1" t="s">
        <v>19</v>
      </c>
      <c r="I271" s="1" t="s">
        <v>107</v>
      </c>
      <c r="J271" s="1" t="s">
        <v>108</v>
      </c>
      <c r="K271" s="1" t="str">
        <f>VLOOKUP(J271,'IU Major Match'!$D$2:$E$65,2,FALSE)</f>
        <v xml:space="preserve">Major exists in IU </v>
      </c>
      <c r="L271" s="1">
        <v>70314987</v>
      </c>
      <c r="M271" s="1" t="s">
        <v>51</v>
      </c>
      <c r="N271" s="11">
        <v>99</v>
      </c>
      <c r="O271" s="11">
        <v>93</v>
      </c>
      <c r="P271" s="11">
        <v>6</v>
      </c>
      <c r="Q271" s="11">
        <v>0</v>
      </c>
      <c r="R271" s="5">
        <f t="shared" si="16"/>
        <v>1</v>
      </c>
      <c r="S271" s="13" t="str">
        <f t="shared" si="17"/>
        <v>&gt;50</v>
      </c>
      <c r="T271" s="14">
        <f t="shared" si="18"/>
        <v>0</v>
      </c>
      <c r="U271" s="14">
        <f t="shared" si="19"/>
        <v>0</v>
      </c>
    </row>
    <row r="272" spans="1:21" x14ac:dyDescent="0.25">
      <c r="A272" s="1">
        <v>62430314</v>
      </c>
      <c r="B272" s="1">
        <v>216776</v>
      </c>
      <c r="C272" s="1" t="s">
        <v>643</v>
      </c>
      <c r="D272" s="1" t="s">
        <v>21</v>
      </c>
      <c r="E272" s="1" t="s">
        <v>365</v>
      </c>
      <c r="F272" s="1" t="s">
        <v>76</v>
      </c>
      <c r="G272" s="1" t="s">
        <v>18</v>
      </c>
      <c r="H272" s="1" t="s">
        <v>19</v>
      </c>
      <c r="I272" s="1" t="s">
        <v>82</v>
      </c>
      <c r="J272" s="1" t="s">
        <v>83</v>
      </c>
      <c r="K272" s="1" t="str">
        <f>VLOOKUP(J272,'IU Major Match'!$D$2:$E$65,2,FALSE)</f>
        <v>Can be Transferred to Bachelor of Engineering</v>
      </c>
      <c r="L272" s="1">
        <v>81376445</v>
      </c>
      <c r="M272" s="1" t="s">
        <v>113</v>
      </c>
      <c r="N272" s="11">
        <v>108</v>
      </c>
      <c r="O272" s="11">
        <v>37</v>
      </c>
      <c r="P272" s="11">
        <v>15</v>
      </c>
      <c r="Q272" s="11">
        <v>56</v>
      </c>
      <c r="R272" s="5">
        <f t="shared" si="16"/>
        <v>0.48148148148148145</v>
      </c>
      <c r="S272" s="13" t="str">
        <f t="shared" si="17"/>
        <v>=&lt;50</v>
      </c>
      <c r="T272" s="14">
        <f t="shared" si="18"/>
        <v>4</v>
      </c>
      <c r="U272" s="14">
        <f t="shared" si="19"/>
        <v>2</v>
      </c>
    </row>
    <row r="273" spans="1:21" x14ac:dyDescent="0.25">
      <c r="A273" s="1">
        <v>62530049</v>
      </c>
      <c r="B273" s="1">
        <v>220529</v>
      </c>
      <c r="C273" s="1" t="s">
        <v>644</v>
      </c>
      <c r="D273" s="1" t="s">
        <v>645</v>
      </c>
      <c r="E273" s="1" t="s">
        <v>646</v>
      </c>
      <c r="F273" s="1" t="s">
        <v>76</v>
      </c>
      <c r="G273" s="1" t="s">
        <v>93</v>
      </c>
      <c r="H273" s="1" t="s">
        <v>19</v>
      </c>
      <c r="I273" s="1" t="s">
        <v>138</v>
      </c>
      <c r="J273" s="1" t="s">
        <v>139</v>
      </c>
      <c r="K273" s="1" t="str">
        <f>VLOOKUP(J273,'IU Major Match'!$D$2:$E$65,2,FALSE)</f>
        <v xml:space="preserve">Major exists in IU </v>
      </c>
      <c r="L273" s="1">
        <v>71058127</v>
      </c>
      <c r="M273" s="1" t="s">
        <v>99</v>
      </c>
      <c r="N273" s="11">
        <v>99</v>
      </c>
      <c r="O273" s="11">
        <v>12</v>
      </c>
      <c r="P273" s="11">
        <v>12</v>
      </c>
      <c r="Q273" s="11">
        <v>75</v>
      </c>
      <c r="R273" s="5">
        <f t="shared" si="16"/>
        <v>0.24242424242424243</v>
      </c>
      <c r="S273" s="13" t="str">
        <f t="shared" si="17"/>
        <v>=&lt;50</v>
      </c>
      <c r="T273" s="14">
        <f t="shared" si="18"/>
        <v>5</v>
      </c>
      <c r="U273" s="14">
        <f t="shared" si="19"/>
        <v>2.5</v>
      </c>
    </row>
    <row r="274" spans="1:21" x14ac:dyDescent="0.25">
      <c r="A274" s="1">
        <v>62530256</v>
      </c>
      <c r="B274" s="1">
        <v>225558</v>
      </c>
      <c r="C274" s="1" t="s">
        <v>647</v>
      </c>
      <c r="D274" s="1" t="s">
        <v>648</v>
      </c>
      <c r="E274" s="1" t="s">
        <v>649</v>
      </c>
      <c r="F274" s="1" t="s">
        <v>76</v>
      </c>
      <c r="G274" s="1" t="s">
        <v>23</v>
      </c>
      <c r="H274" s="1" t="s">
        <v>19</v>
      </c>
      <c r="I274" s="1" t="s">
        <v>258</v>
      </c>
      <c r="J274" s="1" t="s">
        <v>259</v>
      </c>
      <c r="K274" s="1" t="str">
        <f>VLOOKUP(J274,'IU Major Match'!$D$2:$E$65,2,FALSE)</f>
        <v xml:space="preserve">Major exists in IU </v>
      </c>
      <c r="L274" s="1">
        <v>96181985302</v>
      </c>
      <c r="M274" s="1" t="s">
        <v>99</v>
      </c>
      <c r="N274" s="11">
        <v>108</v>
      </c>
      <c r="O274" s="11">
        <v>9</v>
      </c>
      <c r="P274" s="11">
        <v>13</v>
      </c>
      <c r="Q274" s="11">
        <v>94</v>
      </c>
      <c r="R274" s="5">
        <f t="shared" si="16"/>
        <v>0.20370370370370369</v>
      </c>
      <c r="S274" s="13" t="str">
        <f t="shared" si="17"/>
        <v>=&lt;50</v>
      </c>
      <c r="T274" s="14">
        <f t="shared" si="18"/>
        <v>7</v>
      </c>
      <c r="U274" s="14">
        <f t="shared" si="19"/>
        <v>3.5</v>
      </c>
    </row>
    <row r="275" spans="1:21" x14ac:dyDescent="0.25">
      <c r="A275" s="1">
        <v>61730263</v>
      </c>
      <c r="B275" s="1">
        <v>121352</v>
      </c>
      <c r="C275" s="1" t="s">
        <v>57</v>
      </c>
      <c r="D275" s="1" t="s">
        <v>389</v>
      </c>
      <c r="E275" s="1" t="s">
        <v>650</v>
      </c>
      <c r="F275" s="1" t="s">
        <v>76</v>
      </c>
      <c r="G275" s="1" t="s">
        <v>23</v>
      </c>
      <c r="H275" s="1" t="s">
        <v>19</v>
      </c>
      <c r="I275" s="1" t="s">
        <v>159</v>
      </c>
      <c r="J275" s="1" t="s">
        <v>160</v>
      </c>
      <c r="K275" s="1" t="str">
        <f>VLOOKUP(J275,'IU Major Match'!$D$2:$E$65,2,FALSE)</f>
        <v xml:space="preserve">Major exists in IU </v>
      </c>
      <c r="L275" s="1">
        <v>79117862</v>
      </c>
      <c r="M275" s="1" t="s">
        <v>22</v>
      </c>
      <c r="N275" s="11">
        <v>99</v>
      </c>
      <c r="O275" s="11">
        <v>93</v>
      </c>
      <c r="P275" s="11">
        <v>6</v>
      </c>
      <c r="Q275" s="11">
        <v>0</v>
      </c>
      <c r="R275" s="5">
        <f t="shared" si="16"/>
        <v>1</v>
      </c>
      <c r="S275" s="13" t="str">
        <f t="shared" si="17"/>
        <v>&gt;50</v>
      </c>
      <c r="T275" s="14">
        <f t="shared" si="18"/>
        <v>0</v>
      </c>
      <c r="U275" s="14">
        <f t="shared" si="19"/>
        <v>0</v>
      </c>
    </row>
    <row r="276" spans="1:21" x14ac:dyDescent="0.25">
      <c r="A276" s="1">
        <v>62530162</v>
      </c>
      <c r="B276" s="1">
        <v>222882</v>
      </c>
      <c r="C276" s="1" t="s">
        <v>651</v>
      </c>
      <c r="D276" s="1" t="s">
        <v>42</v>
      </c>
      <c r="E276" s="1" t="s">
        <v>652</v>
      </c>
      <c r="F276" s="1" t="s">
        <v>76</v>
      </c>
      <c r="G276" s="1" t="s">
        <v>23</v>
      </c>
      <c r="H276" s="1" t="s">
        <v>19</v>
      </c>
      <c r="I276" s="1" t="s">
        <v>142</v>
      </c>
      <c r="J276" s="1" t="s">
        <v>143</v>
      </c>
      <c r="K276" s="1" t="str">
        <f>VLOOKUP(J276,'IU Major Match'!$D$2:$E$65,2,FALSE)</f>
        <v xml:space="preserve">Major exists in IU </v>
      </c>
      <c r="L276" s="1">
        <v>96178738216</v>
      </c>
      <c r="M276" s="1" t="s">
        <v>99</v>
      </c>
      <c r="N276" s="11">
        <v>99</v>
      </c>
      <c r="O276" s="11">
        <v>0</v>
      </c>
      <c r="P276" s="11">
        <v>10</v>
      </c>
      <c r="Q276" s="11">
        <v>97</v>
      </c>
      <c r="R276" s="5">
        <f t="shared" si="16"/>
        <v>0.10101010101010101</v>
      </c>
      <c r="S276" s="13" t="str">
        <f t="shared" si="17"/>
        <v>=&lt;50</v>
      </c>
      <c r="T276" s="14">
        <f t="shared" si="18"/>
        <v>7</v>
      </c>
      <c r="U276" s="14">
        <f t="shared" si="19"/>
        <v>3.5</v>
      </c>
    </row>
    <row r="277" spans="1:21" x14ac:dyDescent="0.25">
      <c r="A277" s="1">
        <v>62130221</v>
      </c>
      <c r="B277" s="1">
        <v>169882</v>
      </c>
      <c r="C277" s="1" t="s">
        <v>653</v>
      </c>
      <c r="D277" s="1" t="s">
        <v>418</v>
      </c>
      <c r="E277" s="1" t="s">
        <v>654</v>
      </c>
      <c r="F277" s="1" t="s">
        <v>76</v>
      </c>
      <c r="G277" s="1" t="s">
        <v>93</v>
      </c>
      <c r="H277" s="1" t="s">
        <v>19</v>
      </c>
      <c r="I277" s="1" t="s">
        <v>345</v>
      </c>
      <c r="J277" s="1" t="s">
        <v>346</v>
      </c>
      <c r="K277" s="1" t="str">
        <f>VLOOKUP(J277,'IU Major Match'!$D$2:$E$65,2,FALSE)</f>
        <v xml:space="preserve">Major exists in IU </v>
      </c>
      <c r="L277" s="1">
        <v>79130935</v>
      </c>
      <c r="M277" s="1" t="s">
        <v>79</v>
      </c>
      <c r="N277" s="11">
        <v>99</v>
      </c>
      <c r="O277" s="11">
        <v>78</v>
      </c>
      <c r="P277" s="11">
        <v>15</v>
      </c>
      <c r="Q277" s="11">
        <v>6</v>
      </c>
      <c r="R277" s="5">
        <f t="shared" si="16"/>
        <v>0.93939393939393945</v>
      </c>
      <c r="S277" s="13" t="str">
        <f t="shared" si="17"/>
        <v>&gt;50</v>
      </c>
      <c r="T277" s="14">
        <f t="shared" si="18"/>
        <v>1</v>
      </c>
      <c r="U277" s="14">
        <f t="shared" si="19"/>
        <v>0.5</v>
      </c>
    </row>
    <row r="278" spans="1:21" x14ac:dyDescent="0.25">
      <c r="A278" s="1">
        <v>62530234</v>
      </c>
      <c r="B278" s="1">
        <v>224498</v>
      </c>
      <c r="C278" s="1" t="s">
        <v>27</v>
      </c>
      <c r="D278" s="1" t="s">
        <v>43</v>
      </c>
      <c r="E278" s="1" t="s">
        <v>655</v>
      </c>
      <c r="F278" s="1" t="s">
        <v>76</v>
      </c>
      <c r="G278" s="1" t="s">
        <v>93</v>
      </c>
      <c r="H278" s="1" t="s">
        <v>19</v>
      </c>
      <c r="I278" s="1" t="s">
        <v>138</v>
      </c>
      <c r="J278" s="1" t="s">
        <v>139</v>
      </c>
      <c r="K278" s="1" t="str">
        <f>VLOOKUP(J278,'IU Major Match'!$D$2:$E$65,2,FALSE)</f>
        <v xml:space="preserve">Major exists in IU </v>
      </c>
      <c r="L278" s="1">
        <v>96170879938</v>
      </c>
      <c r="M278" s="1" t="s">
        <v>99</v>
      </c>
      <c r="N278" s="11">
        <v>99</v>
      </c>
      <c r="O278" s="11">
        <v>9</v>
      </c>
      <c r="P278" s="11">
        <v>12</v>
      </c>
      <c r="Q278" s="11">
        <v>78</v>
      </c>
      <c r="R278" s="5">
        <f t="shared" si="16"/>
        <v>0.21212121212121213</v>
      </c>
      <c r="S278" s="13" t="str">
        <f t="shared" si="17"/>
        <v>=&lt;50</v>
      </c>
      <c r="T278" s="14">
        <f t="shared" si="18"/>
        <v>6</v>
      </c>
      <c r="U278" s="14">
        <f t="shared" si="19"/>
        <v>3</v>
      </c>
    </row>
    <row r="279" spans="1:21" x14ac:dyDescent="0.25">
      <c r="A279" s="1">
        <v>62430163</v>
      </c>
      <c r="B279" s="1">
        <v>213383</v>
      </c>
      <c r="C279" s="1" t="s">
        <v>42</v>
      </c>
      <c r="D279" s="1" t="s">
        <v>656</v>
      </c>
      <c r="E279" s="1" t="s">
        <v>657</v>
      </c>
      <c r="F279" s="1" t="s">
        <v>76</v>
      </c>
      <c r="G279" s="1" t="s">
        <v>93</v>
      </c>
      <c r="H279" s="1" t="s">
        <v>19</v>
      </c>
      <c r="I279" s="1" t="s">
        <v>111</v>
      </c>
      <c r="J279" s="1" t="s">
        <v>112</v>
      </c>
      <c r="K279" s="1" t="str">
        <f>VLOOKUP(J279,'IU Major Match'!$D$2:$E$65,2,FALSE)</f>
        <v xml:space="preserve">Major exists in IU </v>
      </c>
      <c r="L279" s="1">
        <v>96176616089</v>
      </c>
      <c r="M279" s="1" t="s">
        <v>113</v>
      </c>
      <c r="N279" s="11">
        <v>99</v>
      </c>
      <c r="O279" s="11">
        <v>30</v>
      </c>
      <c r="P279" s="11">
        <v>9</v>
      </c>
      <c r="Q279" s="11">
        <v>60</v>
      </c>
      <c r="R279" s="5">
        <f t="shared" si="16"/>
        <v>0.39393939393939392</v>
      </c>
      <c r="S279" s="13" t="str">
        <f t="shared" si="17"/>
        <v>=&lt;50</v>
      </c>
      <c r="T279" s="14">
        <f t="shared" si="18"/>
        <v>4</v>
      </c>
      <c r="U279" s="14">
        <f t="shared" si="19"/>
        <v>2</v>
      </c>
    </row>
    <row r="280" spans="1:21" x14ac:dyDescent="0.25">
      <c r="A280" s="1">
        <v>62530282</v>
      </c>
      <c r="B280" s="1">
        <v>226855</v>
      </c>
      <c r="C280" s="1" t="s">
        <v>42</v>
      </c>
      <c r="D280" s="1" t="s">
        <v>658</v>
      </c>
      <c r="E280" s="1" t="s">
        <v>659</v>
      </c>
      <c r="F280" s="1" t="s">
        <v>76</v>
      </c>
      <c r="G280" s="1" t="s">
        <v>18</v>
      </c>
      <c r="H280" s="1" t="s">
        <v>19</v>
      </c>
      <c r="I280" s="1" t="s">
        <v>302</v>
      </c>
      <c r="J280" s="1" t="s">
        <v>303</v>
      </c>
      <c r="K280" s="1" t="str">
        <f>VLOOKUP(J280,'IU Major Match'!$D$2:$E$65,2,FALSE)</f>
        <v>Can be Transferred to Bachelor of Engineering</v>
      </c>
      <c r="L280" s="1">
        <v>96170700568</v>
      </c>
      <c r="M280" s="1" t="s">
        <v>99</v>
      </c>
      <c r="N280" s="11">
        <v>108</v>
      </c>
      <c r="O280" s="11">
        <v>6</v>
      </c>
      <c r="P280" s="11">
        <v>11</v>
      </c>
      <c r="Q280" s="11">
        <v>106</v>
      </c>
      <c r="R280" s="5">
        <f t="shared" si="16"/>
        <v>0.15740740740740741</v>
      </c>
      <c r="S280" s="13" t="str">
        <f t="shared" si="17"/>
        <v>=&lt;50</v>
      </c>
      <c r="T280" s="14">
        <f t="shared" si="18"/>
        <v>8</v>
      </c>
      <c r="U280" s="14">
        <f t="shared" si="19"/>
        <v>4</v>
      </c>
    </row>
    <row r="281" spans="1:21" x14ac:dyDescent="0.25">
      <c r="A281" s="1">
        <v>62130352</v>
      </c>
      <c r="B281" s="1">
        <v>173453</v>
      </c>
      <c r="C281" s="1" t="s">
        <v>660</v>
      </c>
      <c r="D281" s="1" t="s">
        <v>374</v>
      </c>
      <c r="E281" s="1" t="s">
        <v>191</v>
      </c>
      <c r="F281" s="1" t="s">
        <v>76</v>
      </c>
      <c r="G281" s="1" t="s">
        <v>23</v>
      </c>
      <c r="H281" s="1" t="s">
        <v>19</v>
      </c>
      <c r="I281" s="1" t="s">
        <v>103</v>
      </c>
      <c r="J281" s="1" t="s">
        <v>104</v>
      </c>
      <c r="K281" s="1" t="str">
        <f>VLOOKUP(J281,'IU Major Match'!$D$2:$E$65,2,FALSE)</f>
        <v xml:space="preserve">Major exists in IU </v>
      </c>
      <c r="L281" s="1">
        <v>70336108</v>
      </c>
      <c r="M281" s="1" t="s">
        <v>79</v>
      </c>
      <c r="N281" s="11">
        <v>100</v>
      </c>
      <c r="O281" s="11">
        <v>75</v>
      </c>
      <c r="P281" s="11">
        <v>12</v>
      </c>
      <c r="Q281" s="11">
        <v>13</v>
      </c>
      <c r="R281" s="5">
        <f t="shared" si="16"/>
        <v>0.87</v>
      </c>
      <c r="S281" s="13" t="str">
        <f t="shared" si="17"/>
        <v>&gt;50</v>
      </c>
      <c r="T281" s="14">
        <f t="shared" si="18"/>
        <v>1</v>
      </c>
      <c r="U281" s="14">
        <f t="shared" si="19"/>
        <v>0.5</v>
      </c>
    </row>
    <row r="282" spans="1:21" x14ac:dyDescent="0.25">
      <c r="A282" s="1">
        <v>62510063</v>
      </c>
      <c r="B282" s="1">
        <v>226348</v>
      </c>
      <c r="C282" s="1" t="s">
        <v>661</v>
      </c>
      <c r="D282" s="1" t="s">
        <v>547</v>
      </c>
      <c r="E282" s="1" t="s">
        <v>662</v>
      </c>
      <c r="F282" s="1" t="s">
        <v>76</v>
      </c>
      <c r="G282" s="1" t="s">
        <v>200</v>
      </c>
      <c r="H282" s="1" t="s">
        <v>19</v>
      </c>
      <c r="I282" s="1" t="s">
        <v>201</v>
      </c>
      <c r="J282" s="1" t="s">
        <v>202</v>
      </c>
      <c r="K282" s="1" t="str">
        <f>VLOOKUP(J282,'IU Major Match'!$D$2:$E$65,2,FALSE)</f>
        <v>Major Dont exists in IU</v>
      </c>
      <c r="L282" s="1">
        <v>96171564560</v>
      </c>
      <c r="M282" s="1" t="s">
        <v>242</v>
      </c>
      <c r="N282" s="11">
        <v>65</v>
      </c>
      <c r="O282" s="11">
        <v>46</v>
      </c>
      <c r="P282" s="11">
        <v>14</v>
      </c>
      <c r="Q282" s="11">
        <v>5</v>
      </c>
      <c r="R282" s="5">
        <f t="shared" si="16"/>
        <v>0.92307692307692313</v>
      </c>
      <c r="S282" s="13" t="str">
        <f t="shared" si="17"/>
        <v>&gt;50</v>
      </c>
      <c r="T282" s="14">
        <f t="shared" si="18"/>
        <v>1</v>
      </c>
      <c r="U282" s="14">
        <f t="shared" si="19"/>
        <v>0.5</v>
      </c>
    </row>
    <row r="283" spans="1:21" x14ac:dyDescent="0.25">
      <c r="A283" s="1">
        <v>62530114</v>
      </c>
      <c r="B283" s="1">
        <v>220444</v>
      </c>
      <c r="C283" s="1" t="s">
        <v>661</v>
      </c>
      <c r="D283" s="1" t="s">
        <v>451</v>
      </c>
      <c r="E283" s="1" t="s">
        <v>663</v>
      </c>
      <c r="F283" s="1" t="s">
        <v>76</v>
      </c>
      <c r="G283" s="1" t="s">
        <v>93</v>
      </c>
      <c r="H283" s="1" t="s">
        <v>19</v>
      </c>
      <c r="I283" s="1" t="s">
        <v>216</v>
      </c>
      <c r="J283" s="1" t="s">
        <v>217</v>
      </c>
      <c r="K283" s="1" t="str">
        <f>VLOOKUP(J283,'IU Major Match'!$D$2:$E$65,2,FALSE)</f>
        <v xml:space="preserve">Major exists in IU </v>
      </c>
      <c r="L283" s="1">
        <v>9613801475</v>
      </c>
      <c r="M283" s="1" t="s">
        <v>99</v>
      </c>
      <c r="N283" s="11">
        <v>99</v>
      </c>
      <c r="O283" s="11">
        <v>0</v>
      </c>
      <c r="P283" s="11">
        <v>12</v>
      </c>
      <c r="Q283" s="11">
        <v>90</v>
      </c>
      <c r="R283" s="5">
        <f t="shared" si="16"/>
        <v>0.12121212121212122</v>
      </c>
      <c r="S283" s="13" t="str">
        <f t="shared" si="17"/>
        <v>=&lt;50</v>
      </c>
      <c r="T283" s="14">
        <f t="shared" si="18"/>
        <v>6</v>
      </c>
      <c r="U283" s="14">
        <f t="shared" si="19"/>
        <v>3</v>
      </c>
    </row>
    <row r="284" spans="1:21" x14ac:dyDescent="0.25">
      <c r="A284" s="1">
        <v>62430151</v>
      </c>
      <c r="B284" s="1">
        <v>211496</v>
      </c>
      <c r="C284" s="1" t="s">
        <v>661</v>
      </c>
      <c r="D284" s="1" t="s">
        <v>664</v>
      </c>
      <c r="E284" s="1" t="s">
        <v>255</v>
      </c>
      <c r="F284" s="1" t="s">
        <v>76</v>
      </c>
      <c r="G284" s="1" t="s">
        <v>93</v>
      </c>
      <c r="H284" s="1" t="s">
        <v>19</v>
      </c>
      <c r="I284" s="1" t="s">
        <v>349</v>
      </c>
      <c r="J284" s="1" t="s">
        <v>350</v>
      </c>
      <c r="K284" s="1" t="str">
        <f>VLOOKUP(J284,'IU Major Match'!$D$2:$E$65,2,FALSE)</f>
        <v xml:space="preserve">Major exists in IU </v>
      </c>
      <c r="L284" s="1">
        <v>76156890</v>
      </c>
      <c r="M284" s="1" t="s">
        <v>113</v>
      </c>
      <c r="N284" s="11">
        <v>99</v>
      </c>
      <c r="O284" s="11">
        <v>42</v>
      </c>
      <c r="P284" s="11">
        <v>15</v>
      </c>
      <c r="Q284" s="11">
        <v>42</v>
      </c>
      <c r="R284" s="5">
        <f t="shared" si="16"/>
        <v>0.5757575757575758</v>
      </c>
      <c r="S284" s="13" t="str">
        <f t="shared" si="17"/>
        <v>&gt;50</v>
      </c>
      <c r="T284" s="14">
        <f t="shared" si="18"/>
        <v>3</v>
      </c>
      <c r="U284" s="14">
        <f t="shared" si="19"/>
        <v>1.5</v>
      </c>
    </row>
    <row r="285" spans="1:21" x14ac:dyDescent="0.25">
      <c r="A285" s="1">
        <v>62330288</v>
      </c>
      <c r="B285" s="1">
        <v>204227</v>
      </c>
      <c r="C285" s="1" t="s">
        <v>665</v>
      </c>
      <c r="D285" s="1" t="s">
        <v>666</v>
      </c>
      <c r="E285" s="1" t="s">
        <v>667</v>
      </c>
      <c r="F285" s="1" t="s">
        <v>76</v>
      </c>
      <c r="G285" s="1" t="s">
        <v>93</v>
      </c>
      <c r="H285" s="1" t="s">
        <v>19</v>
      </c>
      <c r="I285" s="1" t="s">
        <v>94</v>
      </c>
      <c r="J285" s="1" t="s">
        <v>95</v>
      </c>
      <c r="K285" s="1" t="str">
        <f>VLOOKUP(J285,'IU Major Match'!$D$2:$E$65,2,FALSE)</f>
        <v xml:space="preserve">Major exists in IU </v>
      </c>
      <c r="L285" s="1">
        <v>96170059179</v>
      </c>
      <c r="M285" s="1" t="s">
        <v>90</v>
      </c>
      <c r="N285" s="11">
        <v>99</v>
      </c>
      <c r="O285" s="11">
        <v>30</v>
      </c>
      <c r="P285" s="11">
        <v>12</v>
      </c>
      <c r="Q285" s="11">
        <v>57</v>
      </c>
      <c r="R285" s="5">
        <f t="shared" si="16"/>
        <v>0.42424242424242425</v>
      </c>
      <c r="S285" s="13" t="str">
        <f t="shared" si="17"/>
        <v>=&lt;50</v>
      </c>
      <c r="T285" s="14">
        <f t="shared" si="18"/>
        <v>4</v>
      </c>
      <c r="U285" s="14">
        <f t="shared" si="19"/>
        <v>2</v>
      </c>
    </row>
    <row r="286" spans="1:21" x14ac:dyDescent="0.25">
      <c r="A286" s="1">
        <v>62530222</v>
      </c>
      <c r="B286" s="1">
        <v>224602</v>
      </c>
      <c r="C286" s="1" t="s">
        <v>668</v>
      </c>
      <c r="D286" s="1" t="s">
        <v>285</v>
      </c>
      <c r="E286" s="1" t="s">
        <v>669</v>
      </c>
      <c r="F286" s="1" t="s">
        <v>76</v>
      </c>
      <c r="G286" s="1" t="s">
        <v>18</v>
      </c>
      <c r="H286" s="1" t="s">
        <v>19</v>
      </c>
      <c r="I286" s="1" t="s">
        <v>164</v>
      </c>
      <c r="J286" s="1" t="s">
        <v>165</v>
      </c>
      <c r="K286" s="1" t="str">
        <f>VLOOKUP(J286,'IU Major Match'!$D$2:$E$65,2,FALSE)</f>
        <v>Can be Transferred to Bachelor of Engineering</v>
      </c>
      <c r="L286" s="1">
        <v>71958336</v>
      </c>
      <c r="M286" s="1" t="s">
        <v>99</v>
      </c>
      <c r="N286" s="11">
        <v>108</v>
      </c>
      <c r="O286" s="11">
        <v>6</v>
      </c>
      <c r="P286" s="11">
        <v>15</v>
      </c>
      <c r="Q286" s="11">
        <v>87</v>
      </c>
      <c r="R286" s="5">
        <f t="shared" si="16"/>
        <v>0.19444444444444445</v>
      </c>
      <c r="S286" s="13" t="str">
        <f t="shared" si="17"/>
        <v>=&lt;50</v>
      </c>
      <c r="T286" s="14">
        <f t="shared" si="18"/>
        <v>6</v>
      </c>
      <c r="U286" s="14">
        <f t="shared" si="19"/>
        <v>3</v>
      </c>
    </row>
    <row r="287" spans="1:21" x14ac:dyDescent="0.25">
      <c r="A287" s="1">
        <v>62130219</v>
      </c>
      <c r="B287" s="1">
        <v>171436</v>
      </c>
      <c r="C287" s="1" t="s">
        <v>670</v>
      </c>
      <c r="D287" s="1" t="s">
        <v>155</v>
      </c>
      <c r="E287" s="1" t="s">
        <v>671</v>
      </c>
      <c r="F287" s="1" t="s">
        <v>76</v>
      </c>
      <c r="G287" s="1" t="s">
        <v>93</v>
      </c>
      <c r="H287" s="1" t="s">
        <v>19</v>
      </c>
      <c r="I287" s="1" t="s">
        <v>133</v>
      </c>
      <c r="J287" s="1" t="s">
        <v>134</v>
      </c>
      <c r="K287" s="1" t="str">
        <f>VLOOKUP(J287,'IU Major Match'!$D$2:$E$65,2,FALSE)</f>
        <v xml:space="preserve">Major exists in IU </v>
      </c>
      <c r="L287" s="1">
        <v>96171336345</v>
      </c>
      <c r="M287" s="1" t="s">
        <v>79</v>
      </c>
      <c r="N287" s="11">
        <v>99</v>
      </c>
      <c r="O287" s="11">
        <v>54</v>
      </c>
      <c r="P287" s="11">
        <v>15</v>
      </c>
      <c r="Q287" s="11">
        <v>30</v>
      </c>
      <c r="R287" s="5">
        <f t="shared" si="16"/>
        <v>0.69696969696969702</v>
      </c>
      <c r="S287" s="13" t="str">
        <f t="shared" si="17"/>
        <v>&gt;50</v>
      </c>
      <c r="T287" s="14">
        <f t="shared" si="18"/>
        <v>2</v>
      </c>
      <c r="U287" s="14">
        <f t="shared" si="19"/>
        <v>1</v>
      </c>
    </row>
    <row r="288" spans="1:21" x14ac:dyDescent="0.25">
      <c r="A288" s="1">
        <v>62530150</v>
      </c>
      <c r="B288" s="1">
        <v>222168</v>
      </c>
      <c r="C288" s="1" t="s">
        <v>672</v>
      </c>
      <c r="D288" s="1" t="s">
        <v>673</v>
      </c>
      <c r="E288" s="1" t="s">
        <v>674</v>
      </c>
      <c r="F288" s="1" t="s">
        <v>76</v>
      </c>
      <c r="G288" s="1" t="s">
        <v>93</v>
      </c>
      <c r="H288" s="1" t="s">
        <v>19</v>
      </c>
      <c r="I288" s="1" t="s">
        <v>349</v>
      </c>
      <c r="J288" s="1" t="s">
        <v>350</v>
      </c>
      <c r="K288" s="1" t="str">
        <f>VLOOKUP(J288,'IU Major Match'!$D$2:$E$65,2,FALSE)</f>
        <v xml:space="preserve">Major exists in IU </v>
      </c>
      <c r="L288" s="1">
        <v>96181914991</v>
      </c>
      <c r="M288" s="1" t="s">
        <v>99</v>
      </c>
      <c r="N288" s="11">
        <v>99</v>
      </c>
      <c r="O288" s="11">
        <v>3</v>
      </c>
      <c r="P288" s="11">
        <v>9</v>
      </c>
      <c r="Q288" s="11">
        <v>87</v>
      </c>
      <c r="R288" s="5">
        <f t="shared" si="16"/>
        <v>0.12121212121212122</v>
      </c>
      <c r="S288" s="13" t="str">
        <f t="shared" si="17"/>
        <v>=&lt;50</v>
      </c>
      <c r="T288" s="14">
        <f t="shared" si="18"/>
        <v>6</v>
      </c>
      <c r="U288" s="14">
        <f t="shared" si="19"/>
        <v>3</v>
      </c>
    </row>
    <row r="289" spans="1:21" x14ac:dyDescent="0.25">
      <c r="A289" s="1">
        <v>62230348</v>
      </c>
      <c r="B289" s="1">
        <v>206587</v>
      </c>
      <c r="C289" s="1" t="s">
        <v>672</v>
      </c>
      <c r="D289" s="1" t="s">
        <v>675</v>
      </c>
      <c r="E289" s="1" t="s">
        <v>676</v>
      </c>
      <c r="F289" s="1" t="s">
        <v>76</v>
      </c>
      <c r="G289" s="1" t="s">
        <v>23</v>
      </c>
      <c r="H289" s="1" t="s">
        <v>19</v>
      </c>
      <c r="I289" s="1" t="s">
        <v>103</v>
      </c>
      <c r="J289" s="1" t="s">
        <v>104</v>
      </c>
      <c r="K289" s="1" t="str">
        <f>VLOOKUP(J289,'IU Major Match'!$D$2:$E$65,2,FALSE)</f>
        <v xml:space="preserve">Major exists in IU </v>
      </c>
      <c r="L289" s="1">
        <v>71643460</v>
      </c>
      <c r="M289" s="1" t="s">
        <v>90</v>
      </c>
      <c r="N289" s="11">
        <v>100</v>
      </c>
      <c r="O289" s="11">
        <v>62</v>
      </c>
      <c r="P289" s="11">
        <v>12</v>
      </c>
      <c r="Q289" s="11">
        <v>26</v>
      </c>
      <c r="R289" s="5">
        <f t="shared" si="16"/>
        <v>0.74</v>
      </c>
      <c r="S289" s="13" t="str">
        <f t="shared" si="17"/>
        <v>&gt;50</v>
      </c>
      <c r="T289" s="14">
        <f t="shared" si="18"/>
        <v>2</v>
      </c>
      <c r="U289" s="14">
        <f t="shared" si="19"/>
        <v>1</v>
      </c>
    </row>
    <row r="290" spans="1:21" x14ac:dyDescent="0.25">
      <c r="A290" s="1">
        <v>62330117</v>
      </c>
      <c r="B290" s="1">
        <v>199863</v>
      </c>
      <c r="C290" s="1" t="s">
        <v>672</v>
      </c>
      <c r="D290" s="1" t="s">
        <v>677</v>
      </c>
      <c r="E290" s="1" t="s">
        <v>188</v>
      </c>
      <c r="F290" s="1" t="s">
        <v>76</v>
      </c>
      <c r="G290" s="1" t="s">
        <v>93</v>
      </c>
      <c r="H290" s="1" t="s">
        <v>19</v>
      </c>
      <c r="I290" s="1" t="s">
        <v>133</v>
      </c>
      <c r="J290" s="1" t="s">
        <v>134</v>
      </c>
      <c r="K290" s="1" t="str">
        <f>VLOOKUP(J290,'IU Major Match'!$D$2:$E$65,2,FALSE)</f>
        <v xml:space="preserve">Major exists in IU </v>
      </c>
      <c r="L290" s="1">
        <v>96181823977</v>
      </c>
      <c r="M290" s="1" t="s">
        <v>90</v>
      </c>
      <c r="N290" s="11">
        <v>99</v>
      </c>
      <c r="O290" s="11">
        <v>57</v>
      </c>
      <c r="P290" s="11">
        <v>18</v>
      </c>
      <c r="Q290" s="11">
        <v>24</v>
      </c>
      <c r="R290" s="5">
        <f t="shared" si="16"/>
        <v>0.75757575757575757</v>
      </c>
      <c r="S290" s="13" t="str">
        <f t="shared" si="17"/>
        <v>&gt;50</v>
      </c>
      <c r="T290" s="14">
        <f t="shared" si="18"/>
        <v>2</v>
      </c>
      <c r="U290" s="14">
        <f t="shared" si="19"/>
        <v>1</v>
      </c>
    </row>
    <row r="291" spans="1:21" x14ac:dyDescent="0.25">
      <c r="A291" s="1">
        <v>62330194</v>
      </c>
      <c r="B291" s="1">
        <v>201060</v>
      </c>
      <c r="C291" s="1" t="s">
        <v>672</v>
      </c>
      <c r="D291" s="1" t="s">
        <v>678</v>
      </c>
      <c r="E291" s="1" t="s">
        <v>679</v>
      </c>
      <c r="F291" s="1" t="s">
        <v>76</v>
      </c>
      <c r="G291" s="1" t="s">
        <v>93</v>
      </c>
      <c r="H291" s="1" t="s">
        <v>19</v>
      </c>
      <c r="I291" s="1" t="s">
        <v>124</v>
      </c>
      <c r="J291" s="1" t="s">
        <v>125</v>
      </c>
      <c r="K291" s="1" t="str">
        <f>VLOOKUP(J291,'IU Major Match'!$D$2:$E$65,2,FALSE)</f>
        <v xml:space="preserve">Major exists in IU </v>
      </c>
      <c r="L291" s="1">
        <v>76563267</v>
      </c>
      <c r="M291" s="1" t="s">
        <v>90</v>
      </c>
      <c r="N291" s="11">
        <v>99</v>
      </c>
      <c r="O291" s="11">
        <v>21</v>
      </c>
      <c r="P291" s="11">
        <v>9</v>
      </c>
      <c r="Q291" s="11">
        <v>75</v>
      </c>
      <c r="R291" s="5">
        <f t="shared" si="16"/>
        <v>0.30303030303030304</v>
      </c>
      <c r="S291" s="13" t="str">
        <f t="shared" si="17"/>
        <v>=&lt;50</v>
      </c>
      <c r="T291" s="14">
        <f t="shared" si="18"/>
        <v>5</v>
      </c>
      <c r="U291" s="14">
        <f t="shared" si="19"/>
        <v>2.5</v>
      </c>
    </row>
    <row r="292" spans="1:21" x14ac:dyDescent="0.25">
      <c r="A292" s="1">
        <v>62330317</v>
      </c>
      <c r="B292" s="1">
        <v>206284</v>
      </c>
      <c r="C292" s="1" t="s">
        <v>33</v>
      </c>
      <c r="D292" s="1" t="s">
        <v>680</v>
      </c>
      <c r="E292" s="1" t="s">
        <v>681</v>
      </c>
      <c r="F292" s="1" t="s">
        <v>76</v>
      </c>
      <c r="G292" s="1" t="s">
        <v>93</v>
      </c>
      <c r="H292" s="1" t="s">
        <v>19</v>
      </c>
      <c r="I292" s="1" t="s">
        <v>107</v>
      </c>
      <c r="J292" s="1" t="s">
        <v>108</v>
      </c>
      <c r="K292" s="1" t="str">
        <f>VLOOKUP(J292,'IU Major Match'!$D$2:$E$65,2,FALSE)</f>
        <v xml:space="preserve">Major exists in IU </v>
      </c>
      <c r="L292" s="1">
        <v>96181085051</v>
      </c>
      <c r="M292" s="1" t="s">
        <v>90</v>
      </c>
      <c r="N292" s="11">
        <v>99</v>
      </c>
      <c r="O292" s="11">
        <v>75</v>
      </c>
      <c r="P292" s="11">
        <v>18</v>
      </c>
      <c r="Q292" s="11">
        <v>6</v>
      </c>
      <c r="R292" s="5">
        <f t="shared" si="16"/>
        <v>0.93939393939393945</v>
      </c>
      <c r="S292" s="13" t="str">
        <f t="shared" si="17"/>
        <v>&gt;50</v>
      </c>
      <c r="T292" s="14">
        <f t="shared" si="18"/>
        <v>1</v>
      </c>
      <c r="U292" s="14">
        <f t="shared" si="19"/>
        <v>0.5</v>
      </c>
    </row>
    <row r="293" spans="1:21" x14ac:dyDescent="0.25">
      <c r="A293" s="1">
        <v>62530233</v>
      </c>
      <c r="B293" s="1">
        <v>224718</v>
      </c>
      <c r="C293" s="1" t="s">
        <v>33</v>
      </c>
      <c r="D293" s="1" t="s">
        <v>24</v>
      </c>
      <c r="E293" s="1" t="s">
        <v>682</v>
      </c>
      <c r="F293" s="1" t="s">
        <v>76</v>
      </c>
      <c r="G293" s="1" t="s">
        <v>93</v>
      </c>
      <c r="H293" s="1" t="s">
        <v>19</v>
      </c>
      <c r="I293" s="1" t="s">
        <v>124</v>
      </c>
      <c r="J293" s="1" t="s">
        <v>125</v>
      </c>
      <c r="K293" s="1" t="str">
        <f>VLOOKUP(J293,'IU Major Match'!$D$2:$E$65,2,FALSE)</f>
        <v xml:space="preserve">Major exists in IU </v>
      </c>
      <c r="L293" s="1">
        <v>9610000000</v>
      </c>
      <c r="M293" s="1" t="s">
        <v>99</v>
      </c>
      <c r="N293" s="11">
        <v>99</v>
      </c>
      <c r="O293" s="11">
        <v>12</v>
      </c>
      <c r="P293" s="11">
        <v>12</v>
      </c>
      <c r="Q293" s="11">
        <v>75</v>
      </c>
      <c r="R293" s="5">
        <f t="shared" si="16"/>
        <v>0.24242424242424243</v>
      </c>
      <c r="S293" s="13" t="str">
        <f t="shared" si="17"/>
        <v>=&lt;50</v>
      </c>
      <c r="T293" s="14">
        <f t="shared" si="18"/>
        <v>5</v>
      </c>
      <c r="U293" s="14">
        <f t="shared" si="19"/>
        <v>2.5</v>
      </c>
    </row>
    <row r="294" spans="1:21" x14ac:dyDescent="0.25">
      <c r="A294" s="1">
        <v>62530206</v>
      </c>
      <c r="B294" s="1">
        <v>224511</v>
      </c>
      <c r="C294" s="1" t="s">
        <v>43</v>
      </c>
      <c r="D294" s="1" t="s">
        <v>683</v>
      </c>
      <c r="E294" s="1" t="s">
        <v>684</v>
      </c>
      <c r="F294" s="1" t="s">
        <v>76</v>
      </c>
      <c r="G294" s="1" t="s">
        <v>18</v>
      </c>
      <c r="H294" s="1" t="s">
        <v>19</v>
      </c>
      <c r="I294" s="1" t="s">
        <v>82</v>
      </c>
      <c r="J294" s="1" t="s">
        <v>83</v>
      </c>
      <c r="K294" s="1" t="str">
        <f>VLOOKUP(J294,'IU Major Match'!$D$2:$E$65,2,FALSE)</f>
        <v>Can be Transferred to Bachelor of Engineering</v>
      </c>
      <c r="L294" s="1">
        <v>81372675</v>
      </c>
      <c r="M294" s="1" t="s">
        <v>99</v>
      </c>
      <c r="N294" s="11">
        <v>108</v>
      </c>
      <c r="O294" s="11">
        <v>0</v>
      </c>
      <c r="P294" s="11">
        <v>16</v>
      </c>
      <c r="Q294" s="11">
        <v>102</v>
      </c>
      <c r="R294" s="5">
        <f t="shared" si="16"/>
        <v>0.14814814814814814</v>
      </c>
      <c r="S294" s="13" t="str">
        <f t="shared" si="17"/>
        <v>=&lt;50</v>
      </c>
      <c r="T294" s="14">
        <f t="shared" si="18"/>
        <v>7</v>
      </c>
      <c r="U294" s="14">
        <f t="shared" si="19"/>
        <v>3.5</v>
      </c>
    </row>
    <row r="295" spans="1:21" x14ac:dyDescent="0.25">
      <c r="A295" s="1">
        <v>62330088</v>
      </c>
      <c r="B295" s="1">
        <v>199938</v>
      </c>
      <c r="C295" s="1" t="s">
        <v>43</v>
      </c>
      <c r="D295" s="1" t="s">
        <v>58</v>
      </c>
      <c r="E295" s="1" t="s">
        <v>685</v>
      </c>
      <c r="F295" s="1" t="s">
        <v>76</v>
      </c>
      <c r="G295" s="1" t="s">
        <v>18</v>
      </c>
      <c r="H295" s="1" t="s">
        <v>19</v>
      </c>
      <c r="I295" s="1" t="s">
        <v>82</v>
      </c>
      <c r="J295" s="1" t="s">
        <v>83</v>
      </c>
      <c r="K295" s="1" t="str">
        <f>VLOOKUP(J295,'IU Major Match'!$D$2:$E$65,2,FALSE)</f>
        <v>Can be Transferred to Bachelor of Engineering</v>
      </c>
      <c r="L295" s="1">
        <v>96176713041</v>
      </c>
      <c r="M295" s="1" t="s">
        <v>90</v>
      </c>
      <c r="N295" s="11">
        <v>108</v>
      </c>
      <c r="O295" s="11">
        <v>91</v>
      </c>
      <c r="P295" s="11">
        <v>17</v>
      </c>
      <c r="Q295" s="11">
        <v>0</v>
      </c>
      <c r="R295" s="5">
        <f t="shared" si="16"/>
        <v>1</v>
      </c>
      <c r="S295" s="13" t="str">
        <f t="shared" si="17"/>
        <v>&gt;50</v>
      </c>
      <c r="T295" s="14">
        <f t="shared" si="18"/>
        <v>0</v>
      </c>
      <c r="U295" s="14">
        <f t="shared" si="19"/>
        <v>0</v>
      </c>
    </row>
    <row r="296" spans="1:21" x14ac:dyDescent="0.25">
      <c r="A296" s="1">
        <v>62130118</v>
      </c>
      <c r="B296" s="1">
        <v>168628</v>
      </c>
      <c r="C296" s="1" t="s">
        <v>43</v>
      </c>
      <c r="D296" s="1" t="s">
        <v>538</v>
      </c>
      <c r="E296" s="1" t="s">
        <v>686</v>
      </c>
      <c r="F296" s="1" t="s">
        <v>76</v>
      </c>
      <c r="G296" s="1" t="s">
        <v>23</v>
      </c>
      <c r="H296" s="1" t="s">
        <v>19</v>
      </c>
      <c r="I296" s="1" t="s">
        <v>542</v>
      </c>
      <c r="J296" s="1" t="s">
        <v>543</v>
      </c>
      <c r="K296" s="1" t="str">
        <f>VLOOKUP(J296,'IU Major Match'!$D$2:$E$65,2,FALSE)</f>
        <v xml:space="preserve">Major exists in IU </v>
      </c>
      <c r="L296" s="1">
        <v>96171549358</v>
      </c>
      <c r="M296" s="1" t="s">
        <v>79</v>
      </c>
      <c r="N296" s="11">
        <v>108</v>
      </c>
      <c r="O296" s="11">
        <v>102</v>
      </c>
      <c r="P296" s="11">
        <v>6</v>
      </c>
      <c r="Q296" s="11">
        <v>0</v>
      </c>
      <c r="R296" s="5">
        <f t="shared" si="16"/>
        <v>1</v>
      </c>
      <c r="S296" s="13" t="str">
        <f t="shared" si="17"/>
        <v>&gt;50</v>
      </c>
      <c r="T296" s="14">
        <f t="shared" si="18"/>
        <v>0</v>
      </c>
      <c r="U296" s="14">
        <f t="shared" si="19"/>
        <v>0</v>
      </c>
    </row>
    <row r="297" spans="1:21" x14ac:dyDescent="0.25">
      <c r="A297" s="1">
        <v>62030411</v>
      </c>
      <c r="B297" s="1">
        <v>163769</v>
      </c>
      <c r="C297" s="1" t="s">
        <v>285</v>
      </c>
      <c r="D297" s="1" t="s">
        <v>15</v>
      </c>
      <c r="E297" s="1" t="s">
        <v>687</v>
      </c>
      <c r="F297" s="1" t="s">
        <v>76</v>
      </c>
      <c r="G297" s="1" t="s">
        <v>23</v>
      </c>
      <c r="H297" s="1" t="s">
        <v>19</v>
      </c>
      <c r="I297" s="1" t="s">
        <v>103</v>
      </c>
      <c r="J297" s="1" t="s">
        <v>104</v>
      </c>
      <c r="K297" s="1" t="str">
        <f>VLOOKUP(J297,'IU Major Match'!$D$2:$E$65,2,FALSE)</f>
        <v xml:space="preserve">Major exists in IU </v>
      </c>
      <c r="L297" s="1">
        <v>96178952894</v>
      </c>
      <c r="M297" s="1" t="s">
        <v>51</v>
      </c>
      <c r="N297" s="11">
        <v>100</v>
      </c>
      <c r="O297" s="11">
        <v>81</v>
      </c>
      <c r="P297" s="11">
        <v>13</v>
      </c>
      <c r="Q297" s="11">
        <v>6</v>
      </c>
      <c r="R297" s="5">
        <f t="shared" si="16"/>
        <v>0.94</v>
      </c>
      <c r="S297" s="13" t="str">
        <f t="shared" si="17"/>
        <v>&gt;50</v>
      </c>
      <c r="T297" s="14">
        <f t="shared" si="18"/>
        <v>1</v>
      </c>
      <c r="U297" s="14">
        <f t="shared" si="19"/>
        <v>0.5</v>
      </c>
    </row>
    <row r="298" spans="1:21" x14ac:dyDescent="0.25">
      <c r="A298" s="1">
        <v>62130268</v>
      </c>
      <c r="B298" s="1">
        <v>171272</v>
      </c>
      <c r="C298" s="1" t="s">
        <v>285</v>
      </c>
      <c r="D298" s="1" t="s">
        <v>513</v>
      </c>
      <c r="E298" s="1" t="s">
        <v>688</v>
      </c>
      <c r="F298" s="1" t="s">
        <v>76</v>
      </c>
      <c r="G298" s="1" t="s">
        <v>18</v>
      </c>
      <c r="H298" s="1" t="s">
        <v>19</v>
      </c>
      <c r="I298" s="1" t="s">
        <v>164</v>
      </c>
      <c r="J298" s="1" t="s">
        <v>165</v>
      </c>
      <c r="K298" s="1" t="str">
        <f>VLOOKUP(J298,'IU Major Match'!$D$2:$E$65,2,FALSE)</f>
        <v>Can be Transferred to Bachelor of Engineering</v>
      </c>
      <c r="L298" s="1">
        <v>76403279</v>
      </c>
      <c r="M298" s="1" t="s">
        <v>79</v>
      </c>
      <c r="N298" s="11">
        <v>108</v>
      </c>
      <c r="O298" s="11">
        <v>69</v>
      </c>
      <c r="P298" s="11">
        <v>9</v>
      </c>
      <c r="Q298" s="11">
        <v>30</v>
      </c>
      <c r="R298" s="5">
        <f t="shared" si="16"/>
        <v>0.72222222222222221</v>
      </c>
      <c r="S298" s="13" t="str">
        <f t="shared" si="17"/>
        <v>&gt;50</v>
      </c>
      <c r="T298" s="14">
        <f t="shared" si="18"/>
        <v>2</v>
      </c>
      <c r="U298" s="14">
        <f t="shared" si="19"/>
        <v>1</v>
      </c>
    </row>
    <row r="299" spans="1:21" x14ac:dyDescent="0.25">
      <c r="A299" s="1">
        <v>62130369</v>
      </c>
      <c r="B299" s="1">
        <v>175451</v>
      </c>
      <c r="C299" s="1" t="s">
        <v>689</v>
      </c>
      <c r="D299" s="1" t="s">
        <v>33</v>
      </c>
      <c r="E299" s="1" t="s">
        <v>690</v>
      </c>
      <c r="F299" s="1" t="s">
        <v>76</v>
      </c>
      <c r="G299" s="1" t="s">
        <v>93</v>
      </c>
      <c r="H299" s="1" t="s">
        <v>19</v>
      </c>
      <c r="I299" s="1" t="s">
        <v>107</v>
      </c>
      <c r="J299" s="1" t="s">
        <v>108</v>
      </c>
      <c r="K299" s="1" t="str">
        <f>VLOOKUP(J299,'IU Major Match'!$D$2:$E$65,2,FALSE)</f>
        <v xml:space="preserve">Major exists in IU </v>
      </c>
      <c r="L299" s="1">
        <v>9613053603</v>
      </c>
      <c r="M299" s="1" t="s">
        <v>79</v>
      </c>
      <c r="N299" s="11">
        <v>99</v>
      </c>
      <c r="O299" s="11">
        <v>78</v>
      </c>
      <c r="P299" s="11">
        <v>21</v>
      </c>
      <c r="Q299" s="11">
        <v>0</v>
      </c>
      <c r="R299" s="5">
        <f t="shared" si="16"/>
        <v>1</v>
      </c>
      <c r="S299" s="13" t="str">
        <f t="shared" si="17"/>
        <v>&gt;50</v>
      </c>
      <c r="T299" s="14">
        <f t="shared" si="18"/>
        <v>0</v>
      </c>
      <c r="U299" s="14">
        <f t="shared" si="19"/>
        <v>0</v>
      </c>
    </row>
    <row r="300" spans="1:21" x14ac:dyDescent="0.25">
      <c r="A300" s="1">
        <v>62430215</v>
      </c>
      <c r="B300" s="1">
        <v>213366</v>
      </c>
      <c r="C300" s="1" t="s">
        <v>231</v>
      </c>
      <c r="D300" s="1" t="s">
        <v>691</v>
      </c>
      <c r="E300" s="1" t="s">
        <v>692</v>
      </c>
      <c r="F300" s="1" t="s">
        <v>76</v>
      </c>
      <c r="G300" s="1" t="s">
        <v>93</v>
      </c>
      <c r="H300" s="1" t="s">
        <v>19</v>
      </c>
      <c r="I300" s="1" t="s">
        <v>168</v>
      </c>
      <c r="J300" s="1" t="s">
        <v>169</v>
      </c>
      <c r="K300" s="1" t="str">
        <f>VLOOKUP(J300,'IU Major Match'!$D$2:$E$65,2,FALSE)</f>
        <v>Major Dont exists in IU</v>
      </c>
      <c r="L300" s="1">
        <v>81365835</v>
      </c>
      <c r="M300" s="1" t="s">
        <v>113</v>
      </c>
      <c r="N300" s="11">
        <v>99</v>
      </c>
      <c r="O300" s="11">
        <v>27</v>
      </c>
      <c r="P300" s="11">
        <v>12</v>
      </c>
      <c r="Q300" s="11">
        <v>60</v>
      </c>
      <c r="R300" s="5">
        <f t="shared" si="16"/>
        <v>0.39393939393939392</v>
      </c>
      <c r="S300" s="13" t="str">
        <f t="shared" si="17"/>
        <v>=&lt;50</v>
      </c>
      <c r="T300" s="14">
        <f t="shared" si="18"/>
        <v>4</v>
      </c>
      <c r="U300" s="14">
        <f t="shared" si="19"/>
        <v>2</v>
      </c>
    </row>
    <row r="301" spans="1:21" x14ac:dyDescent="0.25">
      <c r="A301" s="1">
        <v>62230240</v>
      </c>
      <c r="B301" s="1">
        <v>190853</v>
      </c>
      <c r="C301" s="1" t="s">
        <v>231</v>
      </c>
      <c r="D301" s="1" t="s">
        <v>653</v>
      </c>
      <c r="E301" s="1" t="s">
        <v>693</v>
      </c>
      <c r="F301" s="1" t="s">
        <v>76</v>
      </c>
      <c r="G301" s="1" t="s">
        <v>23</v>
      </c>
      <c r="H301" s="1" t="s">
        <v>19</v>
      </c>
      <c r="I301" s="1" t="s">
        <v>159</v>
      </c>
      <c r="J301" s="1" t="s">
        <v>160</v>
      </c>
      <c r="K301" s="1" t="str">
        <f>VLOOKUP(J301,'IU Major Match'!$D$2:$E$65,2,FALSE)</f>
        <v xml:space="preserve">Major exists in IU </v>
      </c>
      <c r="L301" s="1">
        <v>96170811480</v>
      </c>
      <c r="M301" s="1" t="s">
        <v>153</v>
      </c>
      <c r="N301" s="11">
        <v>99</v>
      </c>
      <c r="O301" s="11">
        <v>0</v>
      </c>
      <c r="P301" s="11">
        <v>9</v>
      </c>
      <c r="Q301" s="11">
        <v>90</v>
      </c>
      <c r="R301" s="5">
        <f t="shared" si="16"/>
        <v>9.0909090909090912E-2</v>
      </c>
      <c r="S301" s="13" t="str">
        <f t="shared" si="17"/>
        <v>=&lt;50</v>
      </c>
      <c r="T301" s="14">
        <f t="shared" si="18"/>
        <v>6</v>
      </c>
      <c r="U301" s="14">
        <f t="shared" si="19"/>
        <v>3</v>
      </c>
    </row>
    <row r="302" spans="1:21" x14ac:dyDescent="0.25">
      <c r="A302" s="1">
        <v>62330114</v>
      </c>
      <c r="B302" s="1">
        <v>199859</v>
      </c>
      <c r="C302" s="1" t="s">
        <v>694</v>
      </c>
      <c r="D302" s="1" t="s">
        <v>695</v>
      </c>
      <c r="E302" s="1" t="s">
        <v>696</v>
      </c>
      <c r="F302" s="1" t="s">
        <v>76</v>
      </c>
      <c r="G302" s="1" t="s">
        <v>23</v>
      </c>
      <c r="H302" s="1" t="s">
        <v>19</v>
      </c>
      <c r="I302" s="1" t="s">
        <v>103</v>
      </c>
      <c r="J302" s="1" t="s">
        <v>104</v>
      </c>
      <c r="K302" s="1" t="str">
        <f>VLOOKUP(J302,'IU Major Match'!$D$2:$E$65,2,FALSE)</f>
        <v xml:space="preserve">Major exists in IU </v>
      </c>
      <c r="L302" s="1">
        <v>96176822016</v>
      </c>
      <c r="M302" s="1" t="s">
        <v>90</v>
      </c>
      <c r="N302" s="11">
        <v>100</v>
      </c>
      <c r="O302" s="11">
        <v>25</v>
      </c>
      <c r="P302" s="11">
        <v>9</v>
      </c>
      <c r="Q302" s="11">
        <v>66</v>
      </c>
      <c r="R302" s="5">
        <f t="shared" si="16"/>
        <v>0.34</v>
      </c>
      <c r="S302" s="13" t="str">
        <f t="shared" si="17"/>
        <v>=&lt;50</v>
      </c>
      <c r="T302" s="14">
        <f t="shared" si="18"/>
        <v>5</v>
      </c>
      <c r="U302" s="14">
        <f t="shared" si="19"/>
        <v>2.5</v>
      </c>
    </row>
    <row r="303" spans="1:21" x14ac:dyDescent="0.25">
      <c r="A303" s="1">
        <v>62530249</v>
      </c>
      <c r="B303" s="1">
        <v>225581</v>
      </c>
      <c r="C303" s="1" t="s">
        <v>697</v>
      </c>
      <c r="D303" s="1" t="s">
        <v>55</v>
      </c>
      <c r="E303" s="1" t="s">
        <v>650</v>
      </c>
      <c r="F303" s="1" t="s">
        <v>76</v>
      </c>
      <c r="G303" s="1" t="s">
        <v>93</v>
      </c>
      <c r="H303" s="1" t="s">
        <v>19</v>
      </c>
      <c r="I303" s="1" t="s">
        <v>349</v>
      </c>
      <c r="J303" s="1" t="s">
        <v>350</v>
      </c>
      <c r="K303" s="1" t="str">
        <f>VLOOKUP(J303,'IU Major Match'!$D$2:$E$65,2,FALSE)</f>
        <v xml:space="preserve">Major exists in IU </v>
      </c>
      <c r="L303" s="1">
        <v>96176959470</v>
      </c>
      <c r="M303" s="1" t="s">
        <v>99</v>
      </c>
      <c r="N303" s="11">
        <v>99</v>
      </c>
      <c r="O303" s="11">
        <v>0</v>
      </c>
      <c r="P303" s="11">
        <v>16</v>
      </c>
      <c r="Q303" s="11">
        <v>87</v>
      </c>
      <c r="R303" s="5">
        <f t="shared" si="16"/>
        <v>0.16161616161616163</v>
      </c>
      <c r="S303" s="13" t="str">
        <f t="shared" si="17"/>
        <v>=&lt;50</v>
      </c>
      <c r="T303" s="14">
        <f t="shared" si="18"/>
        <v>6</v>
      </c>
      <c r="U303" s="14">
        <f t="shared" si="19"/>
        <v>3</v>
      </c>
    </row>
    <row r="304" spans="1:21" x14ac:dyDescent="0.25">
      <c r="A304" s="1">
        <v>62430194</v>
      </c>
      <c r="B304" s="1">
        <v>212215</v>
      </c>
      <c r="C304" s="1" t="s">
        <v>697</v>
      </c>
      <c r="D304" s="1" t="s">
        <v>316</v>
      </c>
      <c r="E304" s="1" t="s">
        <v>698</v>
      </c>
      <c r="F304" s="1" t="s">
        <v>76</v>
      </c>
      <c r="G304" s="1" t="s">
        <v>93</v>
      </c>
      <c r="H304" s="1" t="s">
        <v>19</v>
      </c>
      <c r="I304" s="1" t="s">
        <v>94</v>
      </c>
      <c r="J304" s="1" t="s">
        <v>95</v>
      </c>
      <c r="K304" s="1" t="str">
        <f>VLOOKUP(J304,'IU Major Match'!$D$2:$E$65,2,FALSE)</f>
        <v xml:space="preserve">Major exists in IU </v>
      </c>
      <c r="L304" s="1">
        <v>96170721202</v>
      </c>
      <c r="M304" s="1" t="s">
        <v>113</v>
      </c>
      <c r="N304" s="11">
        <v>99</v>
      </c>
      <c r="O304" s="11">
        <v>36</v>
      </c>
      <c r="P304" s="11">
        <v>15</v>
      </c>
      <c r="Q304" s="11">
        <v>48</v>
      </c>
      <c r="R304" s="5">
        <f t="shared" si="16"/>
        <v>0.51515151515151514</v>
      </c>
      <c r="S304" s="13" t="str">
        <f t="shared" si="17"/>
        <v>&gt;50</v>
      </c>
      <c r="T304" s="14">
        <f t="shared" si="18"/>
        <v>4</v>
      </c>
      <c r="U304" s="14">
        <f t="shared" si="19"/>
        <v>2</v>
      </c>
    </row>
    <row r="305" spans="1:21" x14ac:dyDescent="0.25">
      <c r="A305" s="1">
        <v>62530108</v>
      </c>
      <c r="B305" s="1">
        <v>220423</v>
      </c>
      <c r="C305" s="1" t="s">
        <v>697</v>
      </c>
      <c r="D305" s="1" t="s">
        <v>61</v>
      </c>
      <c r="E305" s="1" t="s">
        <v>699</v>
      </c>
      <c r="F305" s="1" t="s">
        <v>76</v>
      </c>
      <c r="G305" s="1" t="s">
        <v>23</v>
      </c>
      <c r="H305" s="1" t="s">
        <v>19</v>
      </c>
      <c r="I305" s="1" t="s">
        <v>397</v>
      </c>
      <c r="J305" s="1" t="s">
        <v>398</v>
      </c>
      <c r="K305" s="1" t="str">
        <f>VLOOKUP(J305,'IU Major Match'!$D$2:$E$65,2,FALSE)</f>
        <v xml:space="preserve">Major exists in IU </v>
      </c>
      <c r="L305" s="1">
        <v>96170917213</v>
      </c>
      <c r="M305" s="1" t="s">
        <v>99</v>
      </c>
      <c r="N305" s="11">
        <v>99</v>
      </c>
      <c r="O305" s="11">
        <v>3</v>
      </c>
      <c r="P305" s="11">
        <v>15</v>
      </c>
      <c r="Q305" s="11">
        <v>97</v>
      </c>
      <c r="R305" s="5">
        <f t="shared" si="16"/>
        <v>0.18181818181818182</v>
      </c>
      <c r="S305" s="13" t="str">
        <f t="shared" si="17"/>
        <v>=&lt;50</v>
      </c>
      <c r="T305" s="14">
        <f t="shared" si="18"/>
        <v>7</v>
      </c>
      <c r="U305" s="14">
        <f t="shared" si="19"/>
        <v>3.5</v>
      </c>
    </row>
    <row r="306" spans="1:21" x14ac:dyDescent="0.25">
      <c r="A306" s="1">
        <v>62430024</v>
      </c>
      <c r="B306" s="1">
        <v>212120</v>
      </c>
      <c r="C306" s="1" t="s">
        <v>697</v>
      </c>
      <c r="D306" s="1" t="s">
        <v>33</v>
      </c>
      <c r="E306" s="1" t="s">
        <v>28</v>
      </c>
      <c r="F306" s="1" t="s">
        <v>76</v>
      </c>
      <c r="G306" s="1" t="s">
        <v>23</v>
      </c>
      <c r="H306" s="1" t="s">
        <v>19</v>
      </c>
      <c r="I306" s="1" t="s">
        <v>88</v>
      </c>
      <c r="J306" s="1" t="s">
        <v>89</v>
      </c>
      <c r="K306" s="1" t="str">
        <f>VLOOKUP(J306,'IU Major Match'!$D$2:$E$65,2,FALSE)</f>
        <v xml:space="preserve">Major exists in IU </v>
      </c>
      <c r="L306" s="1">
        <v>96181605637</v>
      </c>
      <c r="M306" s="1" t="s">
        <v>113</v>
      </c>
      <c r="N306" s="11">
        <v>99</v>
      </c>
      <c r="O306" s="11">
        <v>12</v>
      </c>
      <c r="P306" s="11">
        <v>15</v>
      </c>
      <c r="Q306" s="11">
        <v>72</v>
      </c>
      <c r="R306" s="5">
        <f t="shared" si="16"/>
        <v>0.27272727272727271</v>
      </c>
      <c r="S306" s="13" t="str">
        <f t="shared" si="17"/>
        <v>=&lt;50</v>
      </c>
      <c r="T306" s="14">
        <f t="shared" si="18"/>
        <v>5</v>
      </c>
      <c r="U306" s="14">
        <f t="shared" si="19"/>
        <v>2.5</v>
      </c>
    </row>
    <row r="307" spans="1:21" x14ac:dyDescent="0.25">
      <c r="A307" s="1">
        <v>62420008</v>
      </c>
      <c r="B307" s="1">
        <v>209216</v>
      </c>
      <c r="C307" s="1" t="s">
        <v>697</v>
      </c>
      <c r="D307" s="1" t="s">
        <v>199</v>
      </c>
      <c r="E307" s="1" t="s">
        <v>399</v>
      </c>
      <c r="F307" s="1" t="s">
        <v>76</v>
      </c>
      <c r="G307" s="1" t="s">
        <v>23</v>
      </c>
      <c r="H307" s="1" t="s">
        <v>19</v>
      </c>
      <c r="I307" s="1" t="s">
        <v>103</v>
      </c>
      <c r="J307" s="1" t="s">
        <v>104</v>
      </c>
      <c r="K307" s="1" t="str">
        <f>VLOOKUP(J307,'IU Major Match'!$D$2:$E$65,2,FALSE)</f>
        <v xml:space="preserve">Major exists in IU </v>
      </c>
      <c r="L307" s="1">
        <v>96176996881</v>
      </c>
      <c r="M307" s="1" t="s">
        <v>128</v>
      </c>
      <c r="N307" s="11">
        <v>100</v>
      </c>
      <c r="O307" s="11">
        <v>44</v>
      </c>
      <c r="P307" s="11">
        <v>18</v>
      </c>
      <c r="Q307" s="11">
        <v>38</v>
      </c>
      <c r="R307" s="5">
        <f t="shared" si="16"/>
        <v>0.62</v>
      </c>
      <c r="S307" s="13" t="str">
        <f t="shared" si="17"/>
        <v>&gt;50</v>
      </c>
      <c r="T307" s="14">
        <f t="shared" si="18"/>
        <v>3</v>
      </c>
      <c r="U307" s="14">
        <f t="shared" si="19"/>
        <v>1.5</v>
      </c>
    </row>
    <row r="308" spans="1:21" x14ac:dyDescent="0.25">
      <c r="A308" s="1">
        <v>62530061</v>
      </c>
      <c r="B308" s="1">
        <v>220470</v>
      </c>
      <c r="C308" s="1" t="s">
        <v>697</v>
      </c>
      <c r="D308" s="1" t="s">
        <v>59</v>
      </c>
      <c r="E308" s="1" t="s">
        <v>700</v>
      </c>
      <c r="F308" s="1" t="s">
        <v>76</v>
      </c>
      <c r="G308" s="1" t="s">
        <v>93</v>
      </c>
      <c r="H308" s="1" t="s">
        <v>19</v>
      </c>
      <c r="I308" s="1" t="s">
        <v>216</v>
      </c>
      <c r="J308" s="1" t="s">
        <v>217</v>
      </c>
      <c r="K308" s="1" t="str">
        <f>VLOOKUP(J308,'IU Major Match'!$D$2:$E$65,2,FALSE)</f>
        <v xml:space="preserve">Major exists in IU </v>
      </c>
      <c r="L308" s="1">
        <v>96170111056</v>
      </c>
      <c r="M308" s="1" t="s">
        <v>99</v>
      </c>
      <c r="N308" s="11">
        <v>99</v>
      </c>
      <c r="O308" s="11">
        <v>6</v>
      </c>
      <c r="P308" s="11">
        <v>9</v>
      </c>
      <c r="Q308" s="11">
        <v>84</v>
      </c>
      <c r="R308" s="5">
        <f t="shared" si="16"/>
        <v>0.15151515151515152</v>
      </c>
      <c r="S308" s="13" t="str">
        <f t="shared" si="17"/>
        <v>=&lt;50</v>
      </c>
      <c r="T308" s="14">
        <f t="shared" si="18"/>
        <v>6</v>
      </c>
      <c r="U308" s="14">
        <f t="shared" si="19"/>
        <v>3</v>
      </c>
    </row>
    <row r="309" spans="1:21" x14ac:dyDescent="0.25">
      <c r="A309" s="1">
        <v>62130173</v>
      </c>
      <c r="B309" s="1">
        <v>171261</v>
      </c>
      <c r="C309" s="1" t="s">
        <v>697</v>
      </c>
      <c r="D309" s="1" t="s">
        <v>69</v>
      </c>
      <c r="E309" s="1" t="s">
        <v>701</v>
      </c>
      <c r="F309" s="1" t="s">
        <v>76</v>
      </c>
      <c r="G309" s="1" t="s">
        <v>18</v>
      </c>
      <c r="H309" s="1" t="s">
        <v>19</v>
      </c>
      <c r="I309" s="1" t="s">
        <v>82</v>
      </c>
      <c r="J309" s="1" t="s">
        <v>83</v>
      </c>
      <c r="K309" s="1" t="str">
        <f>VLOOKUP(J309,'IU Major Match'!$D$2:$E$65,2,FALSE)</f>
        <v>Can be Transferred to Bachelor of Engineering</v>
      </c>
      <c r="L309" s="1">
        <v>96176086236</v>
      </c>
      <c r="M309" s="1" t="s">
        <v>79</v>
      </c>
      <c r="N309" s="11">
        <v>108</v>
      </c>
      <c r="O309" s="11">
        <v>73</v>
      </c>
      <c r="P309" s="11">
        <v>7</v>
      </c>
      <c r="Q309" s="11">
        <v>28</v>
      </c>
      <c r="R309" s="5">
        <f t="shared" si="16"/>
        <v>0.7407407407407407</v>
      </c>
      <c r="S309" s="13" t="str">
        <f t="shared" si="17"/>
        <v>&gt;50</v>
      </c>
      <c r="T309" s="14">
        <f t="shared" si="18"/>
        <v>2</v>
      </c>
      <c r="U309" s="14">
        <f t="shared" si="19"/>
        <v>1</v>
      </c>
    </row>
    <row r="310" spans="1:21" x14ac:dyDescent="0.25">
      <c r="A310" s="1">
        <v>62330302</v>
      </c>
      <c r="B310" s="1">
        <v>205800</v>
      </c>
      <c r="C310" s="1" t="s">
        <v>702</v>
      </c>
      <c r="D310" s="1" t="s">
        <v>145</v>
      </c>
      <c r="E310" s="1" t="s">
        <v>703</v>
      </c>
      <c r="F310" s="1" t="s">
        <v>76</v>
      </c>
      <c r="G310" s="1" t="s">
        <v>23</v>
      </c>
      <c r="H310" s="1" t="s">
        <v>19</v>
      </c>
      <c r="I310" s="1" t="s">
        <v>542</v>
      </c>
      <c r="J310" s="1" t="s">
        <v>543</v>
      </c>
      <c r="K310" s="1" t="str">
        <f>VLOOKUP(J310,'IU Major Match'!$D$2:$E$65,2,FALSE)</f>
        <v xml:space="preserve">Major exists in IU </v>
      </c>
      <c r="L310" s="1">
        <v>70463114</v>
      </c>
      <c r="M310" s="1" t="s">
        <v>90</v>
      </c>
      <c r="N310" s="11">
        <v>108</v>
      </c>
      <c r="O310" s="11">
        <v>72</v>
      </c>
      <c r="P310" s="11">
        <v>15</v>
      </c>
      <c r="Q310" s="11">
        <v>21</v>
      </c>
      <c r="R310" s="5">
        <f t="shared" si="16"/>
        <v>0.80555555555555558</v>
      </c>
      <c r="S310" s="13" t="str">
        <f t="shared" si="17"/>
        <v>&gt;50</v>
      </c>
      <c r="T310" s="14">
        <f t="shared" si="18"/>
        <v>2</v>
      </c>
      <c r="U310" s="14">
        <f t="shared" si="19"/>
        <v>1</v>
      </c>
    </row>
    <row r="311" spans="1:21" x14ac:dyDescent="0.25">
      <c r="A311" s="1">
        <v>62530121</v>
      </c>
      <c r="B311" s="1">
        <v>221108</v>
      </c>
      <c r="C311" s="1" t="s">
        <v>704</v>
      </c>
      <c r="D311" s="1" t="s">
        <v>170</v>
      </c>
      <c r="E311" s="1" t="s">
        <v>705</v>
      </c>
      <c r="F311" s="1" t="s">
        <v>76</v>
      </c>
      <c r="G311" s="1" t="s">
        <v>93</v>
      </c>
      <c r="H311" s="1" t="s">
        <v>19</v>
      </c>
      <c r="I311" s="1" t="s">
        <v>124</v>
      </c>
      <c r="J311" s="1" t="s">
        <v>125</v>
      </c>
      <c r="K311" s="1" t="str">
        <f>VLOOKUP(J311,'IU Major Match'!$D$2:$E$65,2,FALSE)</f>
        <v xml:space="preserve">Major exists in IU </v>
      </c>
      <c r="L311" s="1">
        <v>79310166</v>
      </c>
      <c r="M311" s="1" t="s">
        <v>99</v>
      </c>
      <c r="N311" s="11">
        <v>99</v>
      </c>
      <c r="O311" s="11">
        <v>9</v>
      </c>
      <c r="P311" s="11">
        <v>18</v>
      </c>
      <c r="Q311" s="11">
        <v>72</v>
      </c>
      <c r="R311" s="5">
        <f t="shared" si="16"/>
        <v>0.27272727272727271</v>
      </c>
      <c r="S311" s="13" t="str">
        <f t="shared" si="17"/>
        <v>=&lt;50</v>
      </c>
      <c r="T311" s="14">
        <f t="shared" si="18"/>
        <v>5</v>
      </c>
      <c r="U311" s="14">
        <f t="shared" si="19"/>
        <v>2.5</v>
      </c>
    </row>
    <row r="312" spans="1:21" x14ac:dyDescent="0.25">
      <c r="A312" s="1">
        <v>62330351</v>
      </c>
      <c r="B312" s="1">
        <v>206842</v>
      </c>
      <c r="C312" s="1" t="s">
        <v>706</v>
      </c>
      <c r="D312" s="1" t="s">
        <v>707</v>
      </c>
      <c r="E312" s="1" t="s">
        <v>708</v>
      </c>
      <c r="F312" s="1" t="s">
        <v>76</v>
      </c>
      <c r="G312" s="1" t="s">
        <v>93</v>
      </c>
      <c r="H312" s="1" t="s">
        <v>19</v>
      </c>
      <c r="I312" s="1" t="s">
        <v>94</v>
      </c>
      <c r="J312" s="1" t="s">
        <v>95</v>
      </c>
      <c r="K312" s="1" t="str">
        <f>VLOOKUP(J312,'IU Major Match'!$D$2:$E$65,2,FALSE)</f>
        <v xml:space="preserve">Major exists in IU </v>
      </c>
      <c r="L312" s="1">
        <v>96176102855</v>
      </c>
      <c r="M312" s="1" t="s">
        <v>90</v>
      </c>
      <c r="N312" s="11">
        <v>99</v>
      </c>
      <c r="O312" s="11">
        <v>60</v>
      </c>
      <c r="P312" s="11">
        <v>18</v>
      </c>
      <c r="Q312" s="11">
        <v>21</v>
      </c>
      <c r="R312" s="5">
        <f t="shared" si="16"/>
        <v>0.78787878787878785</v>
      </c>
      <c r="S312" s="13" t="str">
        <f t="shared" si="17"/>
        <v>&gt;50</v>
      </c>
      <c r="T312" s="14">
        <f t="shared" si="18"/>
        <v>2</v>
      </c>
      <c r="U312" s="14">
        <f t="shared" si="19"/>
        <v>1</v>
      </c>
    </row>
    <row r="313" spans="1:21" x14ac:dyDescent="0.25">
      <c r="A313" s="1">
        <v>62430168</v>
      </c>
      <c r="B313" s="1">
        <v>212195</v>
      </c>
      <c r="C313" s="1" t="s">
        <v>706</v>
      </c>
      <c r="D313" s="1" t="s">
        <v>59</v>
      </c>
      <c r="E313" s="1" t="s">
        <v>399</v>
      </c>
      <c r="F313" s="1" t="s">
        <v>76</v>
      </c>
      <c r="G313" s="1" t="s">
        <v>93</v>
      </c>
      <c r="H313" s="1" t="s">
        <v>19</v>
      </c>
      <c r="I313" s="1" t="s">
        <v>345</v>
      </c>
      <c r="J313" s="1" t="s">
        <v>346</v>
      </c>
      <c r="K313" s="1" t="str">
        <f>VLOOKUP(J313,'IU Major Match'!$D$2:$E$65,2,FALSE)</f>
        <v xml:space="preserve">Major exists in IU </v>
      </c>
      <c r="L313" s="1">
        <v>70511341</v>
      </c>
      <c r="M313" s="1" t="s">
        <v>113</v>
      </c>
      <c r="N313" s="11">
        <v>99</v>
      </c>
      <c r="O313" s="11">
        <v>21</v>
      </c>
      <c r="P313" s="11">
        <v>13</v>
      </c>
      <c r="Q313" s="11">
        <v>69</v>
      </c>
      <c r="R313" s="5">
        <f t="shared" si="16"/>
        <v>0.34343434343434343</v>
      </c>
      <c r="S313" s="13" t="str">
        <f t="shared" si="17"/>
        <v>=&lt;50</v>
      </c>
      <c r="T313" s="14">
        <f t="shared" si="18"/>
        <v>5</v>
      </c>
      <c r="U313" s="14">
        <f t="shared" si="19"/>
        <v>2.5</v>
      </c>
    </row>
    <row r="314" spans="1:21" x14ac:dyDescent="0.25">
      <c r="A314" s="1">
        <v>62530023</v>
      </c>
      <c r="B314" s="1">
        <v>219162</v>
      </c>
      <c r="C314" s="1" t="s">
        <v>709</v>
      </c>
      <c r="D314" s="1" t="s">
        <v>416</v>
      </c>
      <c r="E314" s="1" t="s">
        <v>710</v>
      </c>
      <c r="F314" s="1" t="s">
        <v>76</v>
      </c>
      <c r="G314" s="1" t="s">
        <v>93</v>
      </c>
      <c r="H314" s="1" t="s">
        <v>19</v>
      </c>
      <c r="I314" s="1" t="s">
        <v>124</v>
      </c>
      <c r="J314" s="1" t="s">
        <v>125</v>
      </c>
      <c r="K314" s="1" t="str">
        <f>VLOOKUP(J314,'IU Major Match'!$D$2:$E$65,2,FALSE)</f>
        <v xml:space="preserve">Major exists in IU </v>
      </c>
      <c r="L314" s="1">
        <v>96176964975</v>
      </c>
      <c r="M314" s="1" t="s">
        <v>99</v>
      </c>
      <c r="N314" s="11">
        <v>99</v>
      </c>
      <c r="O314" s="11">
        <v>9</v>
      </c>
      <c r="P314" s="11">
        <v>15</v>
      </c>
      <c r="Q314" s="11">
        <v>75</v>
      </c>
      <c r="R314" s="5">
        <f t="shared" si="16"/>
        <v>0.24242424242424243</v>
      </c>
      <c r="S314" s="13" t="str">
        <f t="shared" si="17"/>
        <v>=&lt;50</v>
      </c>
      <c r="T314" s="14">
        <f t="shared" si="18"/>
        <v>5</v>
      </c>
      <c r="U314" s="14">
        <f t="shared" si="19"/>
        <v>2.5</v>
      </c>
    </row>
    <row r="315" spans="1:21" x14ac:dyDescent="0.25">
      <c r="A315" s="1">
        <v>62330035</v>
      </c>
      <c r="B315" s="1">
        <v>198750</v>
      </c>
      <c r="C315" s="1" t="s">
        <v>711</v>
      </c>
      <c r="D315" s="1" t="s">
        <v>129</v>
      </c>
      <c r="E315" s="1" t="s">
        <v>130</v>
      </c>
      <c r="F315" s="1" t="s">
        <v>76</v>
      </c>
      <c r="G315" s="1" t="s">
        <v>23</v>
      </c>
      <c r="H315" s="1" t="s">
        <v>19</v>
      </c>
      <c r="I315" s="1" t="s">
        <v>103</v>
      </c>
      <c r="J315" s="1" t="s">
        <v>104</v>
      </c>
      <c r="K315" s="1" t="str">
        <f>VLOOKUP(J315,'IU Major Match'!$D$2:$E$65,2,FALSE)</f>
        <v xml:space="preserve">Major exists in IU </v>
      </c>
      <c r="L315" s="1">
        <v>96170738866</v>
      </c>
      <c r="M315" s="1" t="s">
        <v>90</v>
      </c>
      <c r="N315" s="11">
        <v>100</v>
      </c>
      <c r="O315" s="11">
        <v>68</v>
      </c>
      <c r="P315" s="11">
        <v>16</v>
      </c>
      <c r="Q315" s="11">
        <v>16</v>
      </c>
      <c r="R315" s="5">
        <f t="shared" si="16"/>
        <v>0.84</v>
      </c>
      <c r="S315" s="13" t="str">
        <f t="shared" si="17"/>
        <v>&gt;50</v>
      </c>
      <c r="T315" s="14">
        <f t="shared" si="18"/>
        <v>2</v>
      </c>
      <c r="U315" s="14">
        <f t="shared" si="19"/>
        <v>1</v>
      </c>
    </row>
    <row r="316" spans="1:21" x14ac:dyDescent="0.25">
      <c r="A316" s="1">
        <v>62430306</v>
      </c>
      <c r="B316" s="1">
        <v>216218</v>
      </c>
      <c r="C316" s="1" t="s">
        <v>712</v>
      </c>
      <c r="D316" s="1" t="s">
        <v>713</v>
      </c>
      <c r="E316" s="1" t="s">
        <v>71</v>
      </c>
      <c r="F316" s="1" t="s">
        <v>76</v>
      </c>
      <c r="G316" s="1" t="s">
        <v>93</v>
      </c>
      <c r="H316" s="1" t="s">
        <v>19</v>
      </c>
      <c r="I316" s="1" t="s">
        <v>345</v>
      </c>
      <c r="J316" s="1" t="s">
        <v>346</v>
      </c>
      <c r="K316" s="1" t="str">
        <f>VLOOKUP(J316,'IU Major Match'!$D$2:$E$65,2,FALSE)</f>
        <v xml:space="preserve">Major exists in IU </v>
      </c>
      <c r="L316" s="1">
        <v>96176738048</v>
      </c>
      <c r="M316" s="1" t="s">
        <v>113</v>
      </c>
      <c r="N316" s="11">
        <v>99</v>
      </c>
      <c r="O316" s="11">
        <v>30</v>
      </c>
      <c r="P316" s="11">
        <v>12</v>
      </c>
      <c r="Q316" s="11">
        <v>57</v>
      </c>
      <c r="R316" s="5">
        <f t="shared" si="16"/>
        <v>0.42424242424242425</v>
      </c>
      <c r="S316" s="13" t="str">
        <f t="shared" si="17"/>
        <v>=&lt;50</v>
      </c>
      <c r="T316" s="14">
        <f t="shared" si="18"/>
        <v>4</v>
      </c>
      <c r="U316" s="14">
        <f t="shared" si="19"/>
        <v>2</v>
      </c>
    </row>
    <row r="317" spans="1:21" x14ac:dyDescent="0.25">
      <c r="A317" s="1">
        <v>62530192</v>
      </c>
      <c r="B317" s="1">
        <v>223895</v>
      </c>
      <c r="C317" s="1" t="s">
        <v>714</v>
      </c>
      <c r="D317" s="1" t="s">
        <v>256</v>
      </c>
      <c r="E317" s="1" t="s">
        <v>234</v>
      </c>
      <c r="F317" s="1" t="s">
        <v>76</v>
      </c>
      <c r="G317" s="1" t="s">
        <v>18</v>
      </c>
      <c r="H317" s="1" t="s">
        <v>19</v>
      </c>
      <c r="I317" s="1" t="s">
        <v>164</v>
      </c>
      <c r="J317" s="1" t="s">
        <v>165</v>
      </c>
      <c r="K317" s="1" t="str">
        <f>VLOOKUP(J317,'IU Major Match'!$D$2:$E$65,2,FALSE)</f>
        <v>Can be Transferred to Bachelor of Engineering</v>
      </c>
      <c r="L317" s="1">
        <v>96178977029</v>
      </c>
      <c r="M317" s="1" t="s">
        <v>99</v>
      </c>
      <c r="N317" s="11">
        <v>108</v>
      </c>
      <c r="O317" s="11">
        <v>0</v>
      </c>
      <c r="P317" s="11">
        <v>15</v>
      </c>
      <c r="Q317" s="11">
        <v>96</v>
      </c>
      <c r="R317" s="5">
        <f t="shared" si="16"/>
        <v>0.1388888888888889</v>
      </c>
      <c r="S317" s="13" t="str">
        <f t="shared" si="17"/>
        <v>=&lt;50</v>
      </c>
      <c r="T317" s="14">
        <f t="shared" si="18"/>
        <v>7</v>
      </c>
      <c r="U317" s="14">
        <f t="shared" si="19"/>
        <v>3.5</v>
      </c>
    </row>
    <row r="318" spans="1:21" x14ac:dyDescent="0.25">
      <c r="A318" s="1">
        <v>62230391</v>
      </c>
      <c r="B318" s="1">
        <v>194163</v>
      </c>
      <c r="C318" s="1" t="s">
        <v>715</v>
      </c>
      <c r="D318" s="1" t="s">
        <v>716</v>
      </c>
      <c r="E318" s="1" t="s">
        <v>717</v>
      </c>
      <c r="F318" s="1" t="s">
        <v>76</v>
      </c>
      <c r="G318" s="1" t="s">
        <v>23</v>
      </c>
      <c r="H318" s="1" t="s">
        <v>19</v>
      </c>
      <c r="I318" s="1" t="s">
        <v>151</v>
      </c>
      <c r="J318" s="1" t="s">
        <v>152</v>
      </c>
      <c r="K318" s="1" t="str">
        <f>VLOOKUP(J318,'IU Major Match'!$D$2:$E$65,2,FALSE)</f>
        <v>Major Dont exists in IU</v>
      </c>
      <c r="L318" s="1">
        <v>81322876</v>
      </c>
      <c r="M318" s="1" t="s">
        <v>153</v>
      </c>
      <c r="N318" s="11">
        <v>105</v>
      </c>
      <c r="O318" s="11">
        <v>87</v>
      </c>
      <c r="P318" s="11">
        <v>12</v>
      </c>
      <c r="Q318" s="11">
        <v>6</v>
      </c>
      <c r="R318" s="5">
        <f t="shared" si="16"/>
        <v>0.94285714285714284</v>
      </c>
      <c r="S318" s="13" t="str">
        <f t="shared" si="17"/>
        <v>&gt;50</v>
      </c>
      <c r="T318" s="14">
        <f t="shared" si="18"/>
        <v>1</v>
      </c>
      <c r="U318" s="14">
        <f t="shared" si="19"/>
        <v>0.5</v>
      </c>
    </row>
    <row r="319" spans="1:21" x14ac:dyDescent="0.25">
      <c r="A319" s="1">
        <v>62530057</v>
      </c>
      <c r="B319" s="1">
        <v>219782</v>
      </c>
      <c r="C319" s="1" t="s">
        <v>715</v>
      </c>
      <c r="D319" s="1" t="s">
        <v>145</v>
      </c>
      <c r="E319" s="1" t="s">
        <v>718</v>
      </c>
      <c r="F319" s="1" t="s">
        <v>76</v>
      </c>
      <c r="G319" s="1" t="s">
        <v>23</v>
      </c>
      <c r="H319" s="1" t="s">
        <v>19</v>
      </c>
      <c r="I319" s="1" t="s">
        <v>142</v>
      </c>
      <c r="J319" s="1" t="s">
        <v>143</v>
      </c>
      <c r="K319" s="1" t="str">
        <f>VLOOKUP(J319,'IU Major Match'!$D$2:$E$65,2,FALSE)</f>
        <v xml:space="preserve">Major exists in IU </v>
      </c>
      <c r="L319" s="1">
        <v>96181979120</v>
      </c>
      <c r="M319" s="1" t="s">
        <v>99</v>
      </c>
      <c r="N319" s="11">
        <v>99</v>
      </c>
      <c r="O319" s="11">
        <v>0</v>
      </c>
      <c r="P319" s="11">
        <v>10</v>
      </c>
      <c r="Q319" s="11">
        <v>97</v>
      </c>
      <c r="R319" s="5">
        <f t="shared" si="16"/>
        <v>0.10101010101010101</v>
      </c>
      <c r="S319" s="13" t="str">
        <f t="shared" si="17"/>
        <v>=&lt;50</v>
      </c>
      <c r="T319" s="14">
        <f t="shared" si="18"/>
        <v>7</v>
      </c>
      <c r="U319" s="14">
        <f t="shared" si="19"/>
        <v>3.5</v>
      </c>
    </row>
    <row r="320" spans="1:21" x14ac:dyDescent="0.25">
      <c r="A320" s="1">
        <v>62530070</v>
      </c>
      <c r="B320" s="1">
        <v>221394</v>
      </c>
      <c r="C320" s="1" t="s">
        <v>715</v>
      </c>
      <c r="D320" s="1" t="s">
        <v>316</v>
      </c>
      <c r="E320" s="1" t="s">
        <v>719</v>
      </c>
      <c r="F320" s="1" t="s">
        <v>76</v>
      </c>
      <c r="G320" s="1" t="s">
        <v>200</v>
      </c>
      <c r="H320" s="1" t="s">
        <v>19</v>
      </c>
      <c r="I320" s="1" t="s">
        <v>201</v>
      </c>
      <c r="J320" s="1" t="s">
        <v>202</v>
      </c>
      <c r="K320" s="1" t="str">
        <f>VLOOKUP(J320,'IU Major Match'!$D$2:$E$65,2,FALSE)</f>
        <v>Major Dont exists in IU</v>
      </c>
      <c r="L320" s="1">
        <v>96170737095</v>
      </c>
      <c r="M320" s="1" t="s">
        <v>99</v>
      </c>
      <c r="N320" s="11">
        <v>65</v>
      </c>
      <c r="O320" s="11">
        <v>5</v>
      </c>
      <c r="P320" s="11">
        <v>16</v>
      </c>
      <c r="Q320" s="11">
        <v>47</v>
      </c>
      <c r="R320" s="5">
        <f t="shared" si="16"/>
        <v>0.32307692307692309</v>
      </c>
      <c r="S320" s="13" t="str">
        <f t="shared" si="17"/>
        <v>=&lt;50</v>
      </c>
      <c r="T320" s="14">
        <f t="shared" si="18"/>
        <v>4</v>
      </c>
      <c r="U320" s="14">
        <f t="shared" si="19"/>
        <v>2</v>
      </c>
    </row>
    <row r="321" spans="1:21" x14ac:dyDescent="0.25">
      <c r="A321" s="1">
        <v>62430177</v>
      </c>
      <c r="B321" s="1">
        <v>212220</v>
      </c>
      <c r="C321" s="1" t="s">
        <v>715</v>
      </c>
      <c r="D321" s="1" t="s">
        <v>312</v>
      </c>
      <c r="E321" s="1" t="s">
        <v>720</v>
      </c>
      <c r="F321" s="1" t="s">
        <v>76</v>
      </c>
      <c r="G321" s="1" t="s">
        <v>93</v>
      </c>
      <c r="H321" s="1" t="s">
        <v>19</v>
      </c>
      <c r="I321" s="1" t="s">
        <v>107</v>
      </c>
      <c r="J321" s="1" t="s">
        <v>108</v>
      </c>
      <c r="K321" s="1" t="str">
        <f>VLOOKUP(J321,'IU Major Match'!$D$2:$E$65,2,FALSE)</f>
        <v xml:space="preserve">Major exists in IU </v>
      </c>
      <c r="L321" s="1">
        <v>71792144</v>
      </c>
      <c r="M321" s="1" t="s">
        <v>113</v>
      </c>
      <c r="N321" s="11">
        <v>99</v>
      </c>
      <c r="O321" s="11">
        <v>39</v>
      </c>
      <c r="P321" s="11">
        <v>12</v>
      </c>
      <c r="Q321" s="11">
        <v>48</v>
      </c>
      <c r="R321" s="5">
        <f t="shared" si="16"/>
        <v>0.51515151515151514</v>
      </c>
      <c r="S321" s="13" t="str">
        <f t="shared" si="17"/>
        <v>&gt;50</v>
      </c>
      <c r="T321" s="14">
        <f t="shared" si="18"/>
        <v>4</v>
      </c>
      <c r="U321" s="14">
        <f t="shared" si="19"/>
        <v>2</v>
      </c>
    </row>
    <row r="322" spans="1:21" x14ac:dyDescent="0.25">
      <c r="A322" s="1">
        <v>62530077</v>
      </c>
      <c r="B322" s="1">
        <v>219809</v>
      </c>
      <c r="C322" s="1" t="s">
        <v>721</v>
      </c>
      <c r="D322" s="1" t="s">
        <v>119</v>
      </c>
      <c r="E322" s="1" t="s">
        <v>722</v>
      </c>
      <c r="F322" s="1" t="s">
        <v>76</v>
      </c>
      <c r="G322" s="1" t="s">
        <v>93</v>
      </c>
      <c r="H322" s="1" t="s">
        <v>19</v>
      </c>
      <c r="I322" s="1" t="s">
        <v>216</v>
      </c>
      <c r="J322" s="1" t="s">
        <v>217</v>
      </c>
      <c r="K322" s="1" t="str">
        <f>VLOOKUP(J322,'IU Major Match'!$D$2:$E$65,2,FALSE)</f>
        <v xml:space="preserve">Major exists in IU </v>
      </c>
      <c r="L322" s="1">
        <v>71065237</v>
      </c>
      <c r="M322" s="1" t="s">
        <v>99</v>
      </c>
      <c r="N322" s="11">
        <v>99</v>
      </c>
      <c r="O322" s="11">
        <v>9</v>
      </c>
      <c r="P322" s="11">
        <v>15</v>
      </c>
      <c r="Q322" s="11">
        <v>75</v>
      </c>
      <c r="R322" s="5">
        <f t="shared" si="16"/>
        <v>0.24242424242424243</v>
      </c>
      <c r="S322" s="13" t="str">
        <f t="shared" si="17"/>
        <v>=&lt;50</v>
      </c>
      <c r="T322" s="14">
        <f t="shared" si="18"/>
        <v>5</v>
      </c>
      <c r="U322" s="14">
        <f t="shared" si="19"/>
        <v>2.5</v>
      </c>
    </row>
    <row r="323" spans="1:21" x14ac:dyDescent="0.25">
      <c r="A323" s="1">
        <v>62330236</v>
      </c>
      <c r="B323" s="1">
        <v>203667</v>
      </c>
      <c r="C323" s="1" t="s">
        <v>721</v>
      </c>
      <c r="D323" s="1" t="s">
        <v>723</v>
      </c>
      <c r="E323" s="1" t="s">
        <v>724</v>
      </c>
      <c r="F323" s="1" t="s">
        <v>76</v>
      </c>
      <c r="G323" s="1" t="s">
        <v>23</v>
      </c>
      <c r="H323" s="1" t="s">
        <v>19</v>
      </c>
      <c r="I323" s="1" t="s">
        <v>116</v>
      </c>
      <c r="J323" s="1" t="s">
        <v>117</v>
      </c>
      <c r="K323" s="1" t="str">
        <f>VLOOKUP(J323,'IU Major Match'!$D$2:$E$65,2,FALSE)</f>
        <v>Major Dont exists in IU</v>
      </c>
      <c r="L323" s="1">
        <v>96178915928</v>
      </c>
      <c r="M323" s="1" t="s">
        <v>90</v>
      </c>
      <c r="N323" s="11">
        <v>99</v>
      </c>
      <c r="O323" s="11">
        <v>54</v>
      </c>
      <c r="P323" s="11">
        <v>15</v>
      </c>
      <c r="Q323" s="11">
        <v>30</v>
      </c>
      <c r="R323" s="5">
        <f t="shared" ref="R323:R386" si="20">(O323+P323)/N323</f>
        <v>0.69696969696969702</v>
      </c>
      <c r="S323" s="13" t="str">
        <f t="shared" ref="S323:S386" si="21">IF(R323&lt;=50%,"=&lt;50","&gt;50")</f>
        <v>&gt;50</v>
      </c>
      <c r="T323" s="14">
        <f t="shared" ref="T323:T386" si="22">ROUNDUP(Q323/15,0)</f>
        <v>2</v>
      </c>
      <c r="U323" s="14">
        <f t="shared" ref="U323:U386" si="23">T323/2</f>
        <v>1</v>
      </c>
    </row>
    <row r="324" spans="1:21" x14ac:dyDescent="0.25">
      <c r="A324" s="1">
        <v>62430279</v>
      </c>
      <c r="B324" s="1">
        <v>215595</v>
      </c>
      <c r="C324" s="1" t="s">
        <v>721</v>
      </c>
      <c r="D324" s="1" t="s">
        <v>713</v>
      </c>
      <c r="E324" s="1" t="s">
        <v>725</v>
      </c>
      <c r="F324" s="1" t="s">
        <v>76</v>
      </c>
      <c r="G324" s="1" t="s">
        <v>93</v>
      </c>
      <c r="H324" s="1" t="s">
        <v>19</v>
      </c>
      <c r="I324" s="1" t="s">
        <v>133</v>
      </c>
      <c r="J324" s="1" t="s">
        <v>134</v>
      </c>
      <c r="K324" s="1" t="str">
        <f>VLOOKUP(J324,'IU Major Match'!$D$2:$E$65,2,FALSE)</f>
        <v xml:space="preserve">Major exists in IU </v>
      </c>
      <c r="L324" s="1">
        <v>3311465</v>
      </c>
      <c r="M324" s="1" t="s">
        <v>113</v>
      </c>
      <c r="N324" s="11">
        <v>99</v>
      </c>
      <c r="O324" s="11">
        <v>30</v>
      </c>
      <c r="P324" s="11">
        <v>15</v>
      </c>
      <c r="Q324" s="11">
        <v>54</v>
      </c>
      <c r="R324" s="5">
        <f t="shared" si="20"/>
        <v>0.45454545454545453</v>
      </c>
      <c r="S324" s="13" t="str">
        <f t="shared" si="21"/>
        <v>=&lt;50</v>
      </c>
      <c r="T324" s="14">
        <f t="shared" si="22"/>
        <v>4</v>
      </c>
      <c r="U324" s="14">
        <f t="shared" si="23"/>
        <v>2</v>
      </c>
    </row>
    <row r="325" spans="1:21" x14ac:dyDescent="0.25">
      <c r="A325" s="1">
        <v>62210083</v>
      </c>
      <c r="B325" s="1">
        <v>183405</v>
      </c>
      <c r="C325" s="1" t="s">
        <v>726</v>
      </c>
      <c r="D325" s="1" t="s">
        <v>727</v>
      </c>
      <c r="E325" s="1" t="s">
        <v>234</v>
      </c>
      <c r="F325" s="1" t="s">
        <v>76</v>
      </c>
      <c r="G325" s="1" t="s">
        <v>23</v>
      </c>
      <c r="H325" s="1" t="s">
        <v>19</v>
      </c>
      <c r="I325" s="1" t="s">
        <v>542</v>
      </c>
      <c r="J325" s="1" t="s">
        <v>543</v>
      </c>
      <c r="K325" s="1" t="str">
        <f>VLOOKUP(J325,'IU Major Match'!$D$2:$E$65,2,FALSE)</f>
        <v xml:space="preserve">Major exists in IU </v>
      </c>
      <c r="L325" s="1">
        <v>79199510</v>
      </c>
      <c r="M325" s="1" t="s">
        <v>387</v>
      </c>
      <c r="N325" s="11">
        <v>108</v>
      </c>
      <c r="O325" s="11">
        <v>105</v>
      </c>
      <c r="P325" s="11">
        <v>3</v>
      </c>
      <c r="Q325" s="11">
        <v>0</v>
      </c>
      <c r="R325" s="5">
        <f t="shared" si="20"/>
        <v>1</v>
      </c>
      <c r="S325" s="13" t="str">
        <f t="shared" si="21"/>
        <v>&gt;50</v>
      </c>
      <c r="T325" s="14">
        <f t="shared" si="22"/>
        <v>0</v>
      </c>
      <c r="U325" s="14">
        <f t="shared" si="23"/>
        <v>0</v>
      </c>
    </row>
    <row r="326" spans="1:21" x14ac:dyDescent="0.25">
      <c r="A326" s="1">
        <v>62330015</v>
      </c>
      <c r="B326" s="1">
        <v>198772</v>
      </c>
      <c r="C326" s="1" t="s">
        <v>728</v>
      </c>
      <c r="D326" s="1" t="s">
        <v>312</v>
      </c>
      <c r="E326" s="1" t="s">
        <v>729</v>
      </c>
      <c r="F326" s="1" t="s">
        <v>76</v>
      </c>
      <c r="G326" s="1" t="s">
        <v>23</v>
      </c>
      <c r="H326" s="1" t="s">
        <v>19</v>
      </c>
      <c r="I326" s="1" t="s">
        <v>88</v>
      </c>
      <c r="J326" s="1" t="s">
        <v>89</v>
      </c>
      <c r="K326" s="1" t="str">
        <f>VLOOKUP(J326,'IU Major Match'!$D$2:$E$65,2,FALSE)</f>
        <v xml:space="preserve">Major exists in IU </v>
      </c>
      <c r="L326" s="1">
        <v>96176766950</v>
      </c>
      <c r="M326" s="1" t="s">
        <v>90</v>
      </c>
      <c r="N326" s="11">
        <v>99</v>
      </c>
      <c r="O326" s="11">
        <v>52</v>
      </c>
      <c r="P326" s="11">
        <v>16</v>
      </c>
      <c r="Q326" s="11">
        <v>31</v>
      </c>
      <c r="R326" s="5">
        <f t="shared" si="20"/>
        <v>0.68686868686868685</v>
      </c>
      <c r="S326" s="13" t="str">
        <f t="shared" si="21"/>
        <v>&gt;50</v>
      </c>
      <c r="T326" s="14">
        <f t="shared" si="22"/>
        <v>3</v>
      </c>
      <c r="U326" s="14">
        <f t="shared" si="23"/>
        <v>1.5</v>
      </c>
    </row>
    <row r="327" spans="1:21" x14ac:dyDescent="0.25">
      <c r="A327" s="1">
        <v>62230135</v>
      </c>
      <c r="B327" s="1">
        <v>187280</v>
      </c>
      <c r="C327" s="1" t="s">
        <v>730</v>
      </c>
      <c r="D327" s="1" t="s">
        <v>731</v>
      </c>
      <c r="E327" s="1" t="s">
        <v>732</v>
      </c>
      <c r="F327" s="1" t="s">
        <v>76</v>
      </c>
      <c r="G327" s="1" t="s">
        <v>93</v>
      </c>
      <c r="H327" s="1" t="s">
        <v>19</v>
      </c>
      <c r="I327" s="1" t="s">
        <v>111</v>
      </c>
      <c r="J327" s="1" t="s">
        <v>112</v>
      </c>
      <c r="K327" s="1" t="str">
        <f>VLOOKUP(J327,'IU Major Match'!$D$2:$E$65,2,FALSE)</f>
        <v xml:space="preserve">Major exists in IU </v>
      </c>
      <c r="L327" s="1">
        <v>96176072601</v>
      </c>
      <c r="M327" s="1" t="s">
        <v>153</v>
      </c>
      <c r="N327" s="11">
        <v>99</v>
      </c>
      <c r="O327" s="11">
        <v>84</v>
      </c>
      <c r="P327" s="11">
        <v>15</v>
      </c>
      <c r="Q327" s="11">
        <v>0</v>
      </c>
      <c r="R327" s="5">
        <f t="shared" si="20"/>
        <v>1</v>
      </c>
      <c r="S327" s="13" t="str">
        <f t="shared" si="21"/>
        <v>&gt;50</v>
      </c>
      <c r="T327" s="14">
        <f t="shared" si="22"/>
        <v>0</v>
      </c>
      <c r="U327" s="14">
        <f t="shared" si="23"/>
        <v>0</v>
      </c>
    </row>
    <row r="328" spans="1:21" x14ac:dyDescent="0.25">
      <c r="A328" s="1">
        <v>62230265</v>
      </c>
      <c r="B328" s="1">
        <v>189820</v>
      </c>
      <c r="C328" s="1" t="s">
        <v>733</v>
      </c>
      <c r="D328" s="1" t="s">
        <v>16</v>
      </c>
      <c r="E328" s="1" t="s">
        <v>477</v>
      </c>
      <c r="F328" s="1" t="s">
        <v>76</v>
      </c>
      <c r="G328" s="1" t="s">
        <v>18</v>
      </c>
      <c r="H328" s="1" t="s">
        <v>19</v>
      </c>
      <c r="I328" s="1" t="s">
        <v>77</v>
      </c>
      <c r="J328" s="1" t="s">
        <v>78</v>
      </c>
      <c r="K328" s="1" t="str">
        <f>VLOOKUP(J328,'IU Major Match'!$D$2:$E$65,2,FALSE)</f>
        <v>Can be Transferred to Bachelor of Engineering</v>
      </c>
      <c r="L328" s="1">
        <v>81139155</v>
      </c>
      <c r="M328" s="1" t="s">
        <v>153</v>
      </c>
      <c r="N328" s="11">
        <v>108</v>
      </c>
      <c r="O328" s="11">
        <v>21</v>
      </c>
      <c r="P328" s="11">
        <v>10</v>
      </c>
      <c r="Q328" s="11">
        <v>77</v>
      </c>
      <c r="R328" s="5">
        <f t="shared" si="20"/>
        <v>0.28703703703703703</v>
      </c>
      <c r="S328" s="13" t="str">
        <f t="shared" si="21"/>
        <v>=&lt;50</v>
      </c>
      <c r="T328" s="14">
        <f t="shared" si="22"/>
        <v>6</v>
      </c>
      <c r="U328" s="14">
        <f t="shared" si="23"/>
        <v>3</v>
      </c>
    </row>
    <row r="329" spans="1:21" x14ac:dyDescent="0.25">
      <c r="A329" s="1">
        <v>62430205</v>
      </c>
      <c r="B329" s="1">
        <v>213438</v>
      </c>
      <c r="C329" s="1" t="s">
        <v>734</v>
      </c>
      <c r="D329" s="1" t="s">
        <v>92</v>
      </c>
      <c r="E329" s="1" t="s">
        <v>735</v>
      </c>
      <c r="F329" s="1" t="s">
        <v>76</v>
      </c>
      <c r="G329" s="1" t="s">
        <v>93</v>
      </c>
      <c r="H329" s="1" t="s">
        <v>19</v>
      </c>
      <c r="I329" s="1" t="s">
        <v>94</v>
      </c>
      <c r="J329" s="1" t="s">
        <v>95</v>
      </c>
      <c r="K329" s="1" t="str">
        <f>VLOOKUP(J329,'IU Major Match'!$D$2:$E$65,2,FALSE)</f>
        <v xml:space="preserve">Major exists in IU </v>
      </c>
      <c r="L329" s="1">
        <v>81209042</v>
      </c>
      <c r="M329" s="1" t="s">
        <v>113</v>
      </c>
      <c r="N329" s="11">
        <v>99</v>
      </c>
      <c r="O329" s="11">
        <v>6</v>
      </c>
      <c r="P329" s="11">
        <v>12</v>
      </c>
      <c r="Q329" s="11">
        <v>81</v>
      </c>
      <c r="R329" s="5">
        <f t="shared" si="20"/>
        <v>0.18181818181818182</v>
      </c>
      <c r="S329" s="13" t="str">
        <f t="shared" si="21"/>
        <v>=&lt;50</v>
      </c>
      <c r="T329" s="14">
        <f t="shared" si="22"/>
        <v>6</v>
      </c>
      <c r="U329" s="14">
        <f t="shared" si="23"/>
        <v>3</v>
      </c>
    </row>
    <row r="330" spans="1:21" x14ac:dyDescent="0.25">
      <c r="A330" s="1">
        <v>62610028</v>
      </c>
      <c r="B330" s="1">
        <v>227740</v>
      </c>
      <c r="C330" s="1" t="s">
        <v>734</v>
      </c>
      <c r="D330" s="1" t="s">
        <v>736</v>
      </c>
      <c r="E330" s="1" t="s">
        <v>737</v>
      </c>
      <c r="F330" s="1" t="s">
        <v>76</v>
      </c>
      <c r="G330" s="1" t="s">
        <v>93</v>
      </c>
      <c r="H330" s="1" t="s">
        <v>19</v>
      </c>
      <c r="I330" s="1" t="s">
        <v>216</v>
      </c>
      <c r="J330" s="1" t="s">
        <v>217</v>
      </c>
      <c r="K330" s="1" t="str">
        <f>VLOOKUP(J330,'IU Major Match'!$D$2:$E$65,2,FALSE)</f>
        <v xml:space="preserve">Major exists in IU </v>
      </c>
      <c r="L330" s="1">
        <v>96171968646</v>
      </c>
      <c r="M330" s="1" t="s">
        <v>84</v>
      </c>
      <c r="N330" s="11">
        <v>99</v>
      </c>
      <c r="O330" s="11">
        <v>12</v>
      </c>
      <c r="P330" s="11">
        <v>13</v>
      </c>
      <c r="Q330" s="11">
        <v>78</v>
      </c>
      <c r="R330" s="5">
        <f t="shared" si="20"/>
        <v>0.25252525252525254</v>
      </c>
      <c r="S330" s="13" t="str">
        <f t="shared" si="21"/>
        <v>=&lt;50</v>
      </c>
      <c r="T330" s="14">
        <f t="shared" si="22"/>
        <v>6</v>
      </c>
      <c r="U330" s="14">
        <f t="shared" si="23"/>
        <v>3</v>
      </c>
    </row>
    <row r="331" spans="1:21" x14ac:dyDescent="0.25">
      <c r="A331" s="1">
        <v>62530179</v>
      </c>
      <c r="B331" s="1">
        <v>224566</v>
      </c>
      <c r="C331" s="1" t="s">
        <v>734</v>
      </c>
      <c r="D331" s="1" t="s">
        <v>261</v>
      </c>
      <c r="E331" s="1" t="s">
        <v>430</v>
      </c>
      <c r="F331" s="1" t="s">
        <v>76</v>
      </c>
      <c r="G331" s="1" t="s">
        <v>23</v>
      </c>
      <c r="H331" s="1" t="s">
        <v>19</v>
      </c>
      <c r="I331" s="1" t="s">
        <v>397</v>
      </c>
      <c r="J331" s="1" t="s">
        <v>398</v>
      </c>
      <c r="K331" s="1" t="str">
        <f>VLOOKUP(J331,'IU Major Match'!$D$2:$E$65,2,FALSE)</f>
        <v xml:space="preserve">Major exists in IU </v>
      </c>
      <c r="L331" s="1">
        <v>71663208</v>
      </c>
      <c r="M331" s="1" t="s">
        <v>99</v>
      </c>
      <c r="N331" s="11">
        <v>99</v>
      </c>
      <c r="O331" s="11">
        <v>24</v>
      </c>
      <c r="P331" s="11">
        <v>10</v>
      </c>
      <c r="Q331" s="11">
        <v>66</v>
      </c>
      <c r="R331" s="5">
        <f t="shared" si="20"/>
        <v>0.34343434343434343</v>
      </c>
      <c r="S331" s="13" t="str">
        <f t="shared" si="21"/>
        <v>=&lt;50</v>
      </c>
      <c r="T331" s="14">
        <f t="shared" si="22"/>
        <v>5</v>
      </c>
      <c r="U331" s="14">
        <f t="shared" si="23"/>
        <v>2.5</v>
      </c>
    </row>
    <row r="332" spans="1:21" x14ac:dyDescent="0.25">
      <c r="A332" s="1">
        <v>62530220</v>
      </c>
      <c r="B332" s="1">
        <v>224161</v>
      </c>
      <c r="C332" s="1" t="s">
        <v>734</v>
      </c>
      <c r="D332" s="1" t="s">
        <v>190</v>
      </c>
      <c r="E332" s="1" t="s">
        <v>738</v>
      </c>
      <c r="F332" s="1" t="s">
        <v>76</v>
      </c>
      <c r="G332" s="1" t="s">
        <v>18</v>
      </c>
      <c r="H332" s="1" t="s">
        <v>19</v>
      </c>
      <c r="I332" s="1" t="s">
        <v>739</v>
      </c>
      <c r="J332" s="1" t="s">
        <v>740</v>
      </c>
      <c r="K332" s="1" t="str">
        <f>VLOOKUP(J332,'IU Major Match'!$D$2:$E$65,2,FALSE)</f>
        <v>Can be Transferred to Bachelor of Engineering</v>
      </c>
      <c r="L332" s="1">
        <v>96176963408</v>
      </c>
      <c r="M332" s="1" t="s">
        <v>99</v>
      </c>
      <c r="N332" s="11">
        <v>108</v>
      </c>
      <c r="O332" s="11">
        <v>0</v>
      </c>
      <c r="P332" s="11">
        <v>10</v>
      </c>
      <c r="Q332" s="11">
        <v>106</v>
      </c>
      <c r="R332" s="5">
        <f t="shared" si="20"/>
        <v>9.2592592592592587E-2</v>
      </c>
      <c r="S332" s="13" t="str">
        <f t="shared" si="21"/>
        <v>=&lt;50</v>
      </c>
      <c r="T332" s="14">
        <f t="shared" si="22"/>
        <v>8</v>
      </c>
      <c r="U332" s="14">
        <f t="shared" si="23"/>
        <v>4</v>
      </c>
    </row>
    <row r="333" spans="1:21" x14ac:dyDescent="0.25">
      <c r="A333" s="1">
        <v>62530079</v>
      </c>
      <c r="B333" s="1">
        <v>219804</v>
      </c>
      <c r="C333" s="1" t="s">
        <v>734</v>
      </c>
      <c r="D333" s="1" t="s">
        <v>145</v>
      </c>
      <c r="E333" s="1" t="s">
        <v>385</v>
      </c>
      <c r="F333" s="1" t="s">
        <v>76</v>
      </c>
      <c r="G333" s="1" t="s">
        <v>23</v>
      </c>
      <c r="H333" s="1" t="s">
        <v>19</v>
      </c>
      <c r="I333" s="1" t="s">
        <v>397</v>
      </c>
      <c r="J333" s="1" t="s">
        <v>398</v>
      </c>
      <c r="K333" s="1" t="str">
        <f>VLOOKUP(J333,'IU Major Match'!$D$2:$E$65,2,FALSE)</f>
        <v xml:space="preserve">Major exists in IU </v>
      </c>
      <c r="L333" s="1">
        <v>81187866</v>
      </c>
      <c r="M333" s="1" t="s">
        <v>99</v>
      </c>
      <c r="N333" s="11">
        <v>99</v>
      </c>
      <c r="O333" s="11">
        <v>18</v>
      </c>
      <c r="P333" s="11">
        <v>13</v>
      </c>
      <c r="Q333" s="11">
        <v>69</v>
      </c>
      <c r="R333" s="5">
        <f t="shared" si="20"/>
        <v>0.31313131313131315</v>
      </c>
      <c r="S333" s="13" t="str">
        <f t="shared" si="21"/>
        <v>=&lt;50</v>
      </c>
      <c r="T333" s="14">
        <f t="shared" si="22"/>
        <v>5</v>
      </c>
      <c r="U333" s="14">
        <f t="shared" si="23"/>
        <v>2.5</v>
      </c>
    </row>
    <row r="334" spans="1:21" x14ac:dyDescent="0.25">
      <c r="A334" s="1">
        <v>62430288</v>
      </c>
      <c r="B334" s="1">
        <v>215591</v>
      </c>
      <c r="C334" s="1" t="s">
        <v>734</v>
      </c>
      <c r="D334" s="1" t="s">
        <v>425</v>
      </c>
      <c r="E334" s="1" t="s">
        <v>65</v>
      </c>
      <c r="F334" s="1" t="s">
        <v>76</v>
      </c>
      <c r="G334" s="1" t="s">
        <v>18</v>
      </c>
      <c r="H334" s="1" t="s">
        <v>19</v>
      </c>
      <c r="I334" s="1" t="s">
        <v>82</v>
      </c>
      <c r="J334" s="1" t="s">
        <v>83</v>
      </c>
      <c r="K334" s="1" t="str">
        <f>VLOOKUP(J334,'IU Major Match'!$D$2:$E$65,2,FALSE)</f>
        <v>Can be Transferred to Bachelor of Engineering</v>
      </c>
      <c r="L334" s="1">
        <v>3321186</v>
      </c>
      <c r="M334" s="1" t="s">
        <v>113</v>
      </c>
      <c r="N334" s="11">
        <v>108</v>
      </c>
      <c r="O334" s="11">
        <v>34</v>
      </c>
      <c r="P334" s="11">
        <v>15</v>
      </c>
      <c r="Q334" s="11">
        <v>59</v>
      </c>
      <c r="R334" s="5">
        <f t="shared" si="20"/>
        <v>0.45370370370370372</v>
      </c>
      <c r="S334" s="13" t="str">
        <f t="shared" si="21"/>
        <v>=&lt;50</v>
      </c>
      <c r="T334" s="14">
        <f t="shared" si="22"/>
        <v>4</v>
      </c>
      <c r="U334" s="14">
        <f t="shared" si="23"/>
        <v>2</v>
      </c>
    </row>
    <row r="335" spans="1:21" x14ac:dyDescent="0.25">
      <c r="A335" s="1">
        <v>62610008</v>
      </c>
      <c r="B335" s="1">
        <v>227142</v>
      </c>
      <c r="C335" s="1" t="s">
        <v>734</v>
      </c>
      <c r="D335" s="1" t="s">
        <v>741</v>
      </c>
      <c r="E335" s="1" t="s">
        <v>545</v>
      </c>
      <c r="F335" s="1" t="s">
        <v>76</v>
      </c>
      <c r="G335" s="1" t="s">
        <v>18</v>
      </c>
      <c r="H335" s="1" t="s">
        <v>19</v>
      </c>
      <c r="I335" s="1" t="s">
        <v>164</v>
      </c>
      <c r="J335" s="1" t="s">
        <v>165</v>
      </c>
      <c r="K335" s="1" t="str">
        <f>VLOOKUP(J335,'IU Major Match'!$D$2:$E$65,2,FALSE)</f>
        <v>Can be Transferred to Bachelor of Engineering</v>
      </c>
      <c r="L335" s="1">
        <v>96181274476</v>
      </c>
      <c r="M335" s="1" t="s">
        <v>84</v>
      </c>
      <c r="N335" s="11">
        <v>108</v>
      </c>
      <c r="O335" s="11">
        <v>0</v>
      </c>
      <c r="P335" s="11">
        <v>14</v>
      </c>
      <c r="Q335" s="11">
        <v>109</v>
      </c>
      <c r="R335" s="5">
        <f t="shared" si="20"/>
        <v>0.12962962962962962</v>
      </c>
      <c r="S335" s="13" t="str">
        <f t="shared" si="21"/>
        <v>=&lt;50</v>
      </c>
      <c r="T335" s="14">
        <f t="shared" si="22"/>
        <v>8</v>
      </c>
      <c r="U335" s="14">
        <f t="shared" si="23"/>
        <v>4</v>
      </c>
    </row>
    <row r="336" spans="1:21" x14ac:dyDescent="0.25">
      <c r="A336" s="1">
        <v>62130315</v>
      </c>
      <c r="B336" s="1">
        <v>184213</v>
      </c>
      <c r="C336" s="1" t="s">
        <v>742</v>
      </c>
      <c r="D336" s="1" t="s">
        <v>190</v>
      </c>
      <c r="E336" s="1" t="s">
        <v>743</v>
      </c>
      <c r="F336" s="1" t="s">
        <v>76</v>
      </c>
      <c r="G336" s="1" t="s">
        <v>23</v>
      </c>
      <c r="H336" s="1" t="s">
        <v>19</v>
      </c>
      <c r="I336" s="1" t="s">
        <v>438</v>
      </c>
      <c r="J336" s="1" t="s">
        <v>439</v>
      </c>
      <c r="K336" s="1" t="str">
        <f>VLOOKUP(J336,'IU Major Match'!$D$2:$E$65,2,FALSE)</f>
        <v xml:space="preserve">Major exists in IU </v>
      </c>
      <c r="L336" s="1">
        <v>76390484</v>
      </c>
      <c r="M336" s="1" t="s">
        <v>744</v>
      </c>
      <c r="N336" s="11">
        <v>108</v>
      </c>
      <c r="O336" s="11">
        <v>105</v>
      </c>
      <c r="P336" s="11">
        <v>3</v>
      </c>
      <c r="Q336" s="11">
        <v>0</v>
      </c>
      <c r="R336" s="5">
        <f t="shared" si="20"/>
        <v>1</v>
      </c>
      <c r="S336" s="13" t="str">
        <f t="shared" si="21"/>
        <v>&gt;50</v>
      </c>
      <c r="T336" s="14">
        <f t="shared" si="22"/>
        <v>0</v>
      </c>
      <c r="U336" s="14">
        <f t="shared" si="23"/>
        <v>0</v>
      </c>
    </row>
    <row r="337" spans="1:21" x14ac:dyDescent="0.25">
      <c r="A337" s="1">
        <v>62520003</v>
      </c>
      <c r="B337" s="1">
        <v>218955</v>
      </c>
      <c r="C337" s="1" t="s">
        <v>745</v>
      </c>
      <c r="D337" s="1" t="s">
        <v>367</v>
      </c>
      <c r="E337" s="1" t="s">
        <v>746</v>
      </c>
      <c r="F337" s="1" t="s">
        <v>76</v>
      </c>
      <c r="G337" s="1" t="s">
        <v>23</v>
      </c>
      <c r="H337" s="1" t="s">
        <v>19</v>
      </c>
      <c r="I337" s="1" t="s">
        <v>747</v>
      </c>
      <c r="J337" s="1" t="s">
        <v>748</v>
      </c>
      <c r="K337" s="1" t="str">
        <f>VLOOKUP(J337,'IU Major Match'!$D$2:$E$65,2,FALSE)</f>
        <v xml:space="preserve">Major exists in IU </v>
      </c>
      <c r="L337" s="1">
        <v>96171418574</v>
      </c>
      <c r="M337" s="1" t="s">
        <v>749</v>
      </c>
      <c r="N337" s="11">
        <v>108</v>
      </c>
      <c r="O337" s="11">
        <v>51</v>
      </c>
      <c r="P337" s="11">
        <v>18</v>
      </c>
      <c r="Q337" s="11">
        <v>42</v>
      </c>
      <c r="R337" s="5">
        <f t="shared" si="20"/>
        <v>0.63888888888888884</v>
      </c>
      <c r="S337" s="13" t="str">
        <f t="shared" si="21"/>
        <v>&gt;50</v>
      </c>
      <c r="T337" s="14">
        <f t="shared" si="22"/>
        <v>3</v>
      </c>
      <c r="U337" s="14">
        <f t="shared" si="23"/>
        <v>1.5</v>
      </c>
    </row>
    <row r="338" spans="1:21" x14ac:dyDescent="0.25">
      <c r="A338" s="1">
        <v>62330124</v>
      </c>
      <c r="B338" s="1">
        <v>199820</v>
      </c>
      <c r="C338" s="1" t="s">
        <v>745</v>
      </c>
      <c r="D338" s="1" t="s">
        <v>325</v>
      </c>
      <c r="E338" s="1" t="s">
        <v>750</v>
      </c>
      <c r="F338" s="1" t="s">
        <v>76</v>
      </c>
      <c r="G338" s="1" t="s">
        <v>23</v>
      </c>
      <c r="H338" s="1" t="s">
        <v>19</v>
      </c>
      <c r="I338" s="1" t="s">
        <v>103</v>
      </c>
      <c r="J338" s="1" t="s">
        <v>104</v>
      </c>
      <c r="K338" s="1" t="str">
        <f>VLOOKUP(J338,'IU Major Match'!$D$2:$E$65,2,FALSE)</f>
        <v xml:space="preserve">Major exists in IU </v>
      </c>
      <c r="L338" s="1">
        <v>96181001708</v>
      </c>
      <c r="M338" s="1" t="s">
        <v>90</v>
      </c>
      <c r="N338" s="11">
        <v>100</v>
      </c>
      <c r="O338" s="11">
        <v>44</v>
      </c>
      <c r="P338" s="11">
        <v>12</v>
      </c>
      <c r="Q338" s="11">
        <v>44</v>
      </c>
      <c r="R338" s="5">
        <f t="shared" si="20"/>
        <v>0.56000000000000005</v>
      </c>
      <c r="S338" s="13" t="str">
        <f t="shared" si="21"/>
        <v>&gt;50</v>
      </c>
      <c r="T338" s="14">
        <f t="shared" si="22"/>
        <v>3</v>
      </c>
      <c r="U338" s="14">
        <f t="shared" si="23"/>
        <v>1.5</v>
      </c>
    </row>
    <row r="339" spans="1:21" x14ac:dyDescent="0.25">
      <c r="A339" s="1">
        <v>62330265</v>
      </c>
      <c r="B339" s="1">
        <v>205635</v>
      </c>
      <c r="C339" s="1" t="s">
        <v>745</v>
      </c>
      <c r="D339" s="1" t="s">
        <v>86</v>
      </c>
      <c r="E339" s="1" t="s">
        <v>87</v>
      </c>
      <c r="F339" s="1" t="s">
        <v>76</v>
      </c>
      <c r="G339" s="1" t="s">
        <v>93</v>
      </c>
      <c r="H339" s="1" t="s">
        <v>19</v>
      </c>
      <c r="I339" s="1" t="s">
        <v>94</v>
      </c>
      <c r="J339" s="1" t="s">
        <v>95</v>
      </c>
      <c r="K339" s="1" t="str">
        <f>VLOOKUP(J339,'IU Major Match'!$D$2:$E$65,2,FALSE)</f>
        <v xml:space="preserve">Major exists in IU </v>
      </c>
      <c r="L339" s="1">
        <v>81524645</v>
      </c>
      <c r="M339" s="1" t="s">
        <v>90</v>
      </c>
      <c r="N339" s="11">
        <v>99</v>
      </c>
      <c r="O339" s="11">
        <v>27</v>
      </c>
      <c r="P339" s="11">
        <v>15</v>
      </c>
      <c r="Q339" s="11">
        <v>57</v>
      </c>
      <c r="R339" s="5">
        <f t="shared" si="20"/>
        <v>0.42424242424242425</v>
      </c>
      <c r="S339" s="13" t="str">
        <f t="shared" si="21"/>
        <v>=&lt;50</v>
      </c>
      <c r="T339" s="14">
        <f t="shared" si="22"/>
        <v>4</v>
      </c>
      <c r="U339" s="14">
        <f t="shared" si="23"/>
        <v>2</v>
      </c>
    </row>
    <row r="340" spans="1:21" x14ac:dyDescent="0.25">
      <c r="A340" s="1">
        <v>62530281</v>
      </c>
      <c r="B340" s="1">
        <v>226834</v>
      </c>
      <c r="C340" s="1" t="s">
        <v>745</v>
      </c>
      <c r="D340" s="1" t="s">
        <v>316</v>
      </c>
      <c r="E340" s="1" t="s">
        <v>751</v>
      </c>
      <c r="F340" s="1" t="s">
        <v>76</v>
      </c>
      <c r="G340" s="1" t="s">
        <v>93</v>
      </c>
      <c r="H340" s="1" t="s">
        <v>19</v>
      </c>
      <c r="I340" s="1" t="s">
        <v>349</v>
      </c>
      <c r="J340" s="1" t="s">
        <v>350</v>
      </c>
      <c r="K340" s="1" t="str">
        <f>VLOOKUP(J340,'IU Major Match'!$D$2:$E$65,2,FALSE)</f>
        <v xml:space="preserve">Major exists in IU </v>
      </c>
      <c r="L340" s="1">
        <v>96176783777</v>
      </c>
      <c r="M340" s="1" t="s">
        <v>99</v>
      </c>
      <c r="N340" s="11">
        <v>99</v>
      </c>
      <c r="O340" s="11">
        <v>0</v>
      </c>
      <c r="P340" s="11">
        <v>13</v>
      </c>
      <c r="Q340" s="11">
        <v>90</v>
      </c>
      <c r="R340" s="5">
        <f t="shared" si="20"/>
        <v>0.13131313131313133</v>
      </c>
      <c r="S340" s="13" t="str">
        <f t="shared" si="21"/>
        <v>=&lt;50</v>
      </c>
      <c r="T340" s="14">
        <f t="shared" si="22"/>
        <v>6</v>
      </c>
      <c r="U340" s="14">
        <f t="shared" si="23"/>
        <v>3</v>
      </c>
    </row>
    <row r="341" spans="1:21" x14ac:dyDescent="0.25">
      <c r="A341" s="1">
        <v>62530175</v>
      </c>
      <c r="B341" s="1">
        <v>223951</v>
      </c>
      <c r="C341" s="1" t="s">
        <v>752</v>
      </c>
      <c r="D341" s="1" t="s">
        <v>643</v>
      </c>
      <c r="E341" s="1" t="s">
        <v>753</v>
      </c>
      <c r="F341" s="1" t="s">
        <v>76</v>
      </c>
      <c r="G341" s="1" t="s">
        <v>93</v>
      </c>
      <c r="H341" s="1" t="s">
        <v>19</v>
      </c>
      <c r="I341" s="1" t="s">
        <v>754</v>
      </c>
      <c r="J341" s="1" t="s">
        <v>755</v>
      </c>
      <c r="K341" s="1" t="str">
        <f>VLOOKUP(J341,'IU Major Match'!$D$2:$E$65,2,FALSE)</f>
        <v xml:space="preserve">Major exists in IU </v>
      </c>
      <c r="L341" s="1">
        <v>81424019</v>
      </c>
      <c r="M341" s="1" t="s">
        <v>99</v>
      </c>
      <c r="N341" s="11">
        <v>99</v>
      </c>
      <c r="O341" s="11">
        <v>9</v>
      </c>
      <c r="P341" s="11">
        <v>16</v>
      </c>
      <c r="Q341" s="11">
        <v>78</v>
      </c>
      <c r="R341" s="5">
        <f t="shared" si="20"/>
        <v>0.25252525252525254</v>
      </c>
      <c r="S341" s="13" t="str">
        <f t="shared" si="21"/>
        <v>=&lt;50</v>
      </c>
      <c r="T341" s="14">
        <f t="shared" si="22"/>
        <v>6</v>
      </c>
      <c r="U341" s="14">
        <f t="shared" si="23"/>
        <v>3</v>
      </c>
    </row>
    <row r="342" spans="1:21" x14ac:dyDescent="0.25">
      <c r="A342" s="1">
        <v>62230409</v>
      </c>
      <c r="B342" s="1">
        <v>194240</v>
      </c>
      <c r="C342" s="1" t="s">
        <v>391</v>
      </c>
      <c r="D342" s="1" t="s">
        <v>92</v>
      </c>
      <c r="E342" s="1" t="s">
        <v>355</v>
      </c>
      <c r="F342" s="1" t="s">
        <v>76</v>
      </c>
      <c r="G342" s="1" t="s">
        <v>93</v>
      </c>
      <c r="H342" s="1" t="s">
        <v>19</v>
      </c>
      <c r="I342" s="1" t="s">
        <v>111</v>
      </c>
      <c r="J342" s="1" t="s">
        <v>112</v>
      </c>
      <c r="K342" s="1" t="str">
        <f>VLOOKUP(J342,'IU Major Match'!$D$2:$E$65,2,FALSE)</f>
        <v xml:space="preserve">Major exists in IU </v>
      </c>
      <c r="L342" s="1">
        <v>71864958</v>
      </c>
      <c r="M342" s="1" t="s">
        <v>153</v>
      </c>
      <c r="N342" s="11">
        <v>99</v>
      </c>
      <c r="O342" s="11">
        <v>33</v>
      </c>
      <c r="P342" s="11">
        <v>15</v>
      </c>
      <c r="Q342" s="11">
        <v>51</v>
      </c>
      <c r="R342" s="5">
        <f t="shared" si="20"/>
        <v>0.48484848484848486</v>
      </c>
      <c r="S342" s="13" t="str">
        <f t="shared" si="21"/>
        <v>=&lt;50</v>
      </c>
      <c r="T342" s="14">
        <f t="shared" si="22"/>
        <v>4</v>
      </c>
      <c r="U342" s="14">
        <f t="shared" si="23"/>
        <v>2</v>
      </c>
    </row>
    <row r="343" spans="1:21" x14ac:dyDescent="0.25">
      <c r="A343" s="1">
        <v>62030015</v>
      </c>
      <c r="B343" s="1">
        <v>151587</v>
      </c>
      <c r="C343" s="1" t="s">
        <v>756</v>
      </c>
      <c r="D343" s="1" t="s">
        <v>757</v>
      </c>
      <c r="E343" s="1" t="s">
        <v>758</v>
      </c>
      <c r="F343" s="1" t="s">
        <v>76</v>
      </c>
      <c r="G343" s="1" t="s">
        <v>93</v>
      </c>
      <c r="H343" s="1" t="s">
        <v>19</v>
      </c>
      <c r="I343" s="1" t="s">
        <v>111</v>
      </c>
      <c r="J343" s="1" t="s">
        <v>112</v>
      </c>
      <c r="K343" s="1" t="str">
        <f>VLOOKUP(J343,'IU Major Match'!$D$2:$E$65,2,FALSE)</f>
        <v xml:space="preserve">Major exists in IU </v>
      </c>
      <c r="L343" s="1">
        <v>96181764398</v>
      </c>
      <c r="M343" s="1" t="s">
        <v>51</v>
      </c>
      <c r="N343" s="11">
        <v>99</v>
      </c>
      <c r="O343" s="11">
        <v>54</v>
      </c>
      <c r="P343" s="11">
        <v>12</v>
      </c>
      <c r="Q343" s="11">
        <v>33</v>
      </c>
      <c r="R343" s="5">
        <f t="shared" si="20"/>
        <v>0.66666666666666663</v>
      </c>
      <c r="S343" s="13" t="str">
        <f t="shared" si="21"/>
        <v>&gt;50</v>
      </c>
      <c r="T343" s="14">
        <f t="shared" si="22"/>
        <v>3</v>
      </c>
      <c r="U343" s="14">
        <f t="shared" si="23"/>
        <v>1.5</v>
      </c>
    </row>
    <row r="344" spans="1:21" x14ac:dyDescent="0.25">
      <c r="A344" s="1">
        <v>62330293</v>
      </c>
      <c r="B344" s="1">
        <v>205278</v>
      </c>
      <c r="C344" s="1" t="s">
        <v>759</v>
      </c>
      <c r="D344" s="1" t="s">
        <v>325</v>
      </c>
      <c r="E344" s="1" t="s">
        <v>760</v>
      </c>
      <c r="F344" s="1" t="s">
        <v>76</v>
      </c>
      <c r="G344" s="1" t="s">
        <v>23</v>
      </c>
      <c r="H344" s="1" t="s">
        <v>19</v>
      </c>
      <c r="I344" s="1" t="s">
        <v>761</v>
      </c>
      <c r="J344" s="1" t="s">
        <v>762</v>
      </c>
      <c r="K344" s="1" t="str">
        <f>VLOOKUP(J344,'IU Major Match'!$D$2:$E$65,2,FALSE)</f>
        <v>Major Dont exists in IU</v>
      </c>
      <c r="L344" s="1">
        <v>3151299</v>
      </c>
      <c r="M344" s="1" t="s">
        <v>90</v>
      </c>
      <c r="N344" s="11">
        <v>99</v>
      </c>
      <c r="O344" s="11">
        <v>33</v>
      </c>
      <c r="P344" s="11">
        <v>13</v>
      </c>
      <c r="Q344" s="11">
        <v>53</v>
      </c>
      <c r="R344" s="5">
        <f t="shared" si="20"/>
        <v>0.46464646464646464</v>
      </c>
      <c r="S344" s="13" t="str">
        <f t="shared" si="21"/>
        <v>=&lt;50</v>
      </c>
      <c r="T344" s="14">
        <f t="shared" si="22"/>
        <v>4</v>
      </c>
      <c r="U344" s="14">
        <f t="shared" si="23"/>
        <v>2</v>
      </c>
    </row>
    <row r="345" spans="1:21" x14ac:dyDescent="0.25">
      <c r="A345" s="1">
        <v>62530165</v>
      </c>
      <c r="B345" s="1">
        <v>222929</v>
      </c>
      <c r="C345" s="1" t="s">
        <v>763</v>
      </c>
      <c r="D345" s="1" t="s">
        <v>687</v>
      </c>
      <c r="E345" s="1" t="s">
        <v>764</v>
      </c>
      <c r="F345" s="1" t="s">
        <v>76</v>
      </c>
      <c r="G345" s="1" t="s">
        <v>93</v>
      </c>
      <c r="H345" s="1" t="s">
        <v>19</v>
      </c>
      <c r="I345" s="1" t="s">
        <v>349</v>
      </c>
      <c r="J345" s="1" t="s">
        <v>350</v>
      </c>
      <c r="K345" s="1" t="str">
        <f>VLOOKUP(J345,'IU Major Match'!$D$2:$E$65,2,FALSE)</f>
        <v xml:space="preserve">Major exists in IU </v>
      </c>
      <c r="L345" s="1">
        <v>70595329</v>
      </c>
      <c r="M345" s="1" t="s">
        <v>99</v>
      </c>
      <c r="N345" s="11">
        <v>99</v>
      </c>
      <c r="O345" s="11">
        <v>6</v>
      </c>
      <c r="P345" s="11">
        <v>13</v>
      </c>
      <c r="Q345" s="11">
        <v>88</v>
      </c>
      <c r="R345" s="5">
        <f t="shared" si="20"/>
        <v>0.19191919191919191</v>
      </c>
      <c r="S345" s="13" t="str">
        <f t="shared" si="21"/>
        <v>=&lt;50</v>
      </c>
      <c r="T345" s="14">
        <f t="shared" si="22"/>
        <v>6</v>
      </c>
      <c r="U345" s="14">
        <f t="shared" si="23"/>
        <v>3</v>
      </c>
    </row>
    <row r="346" spans="1:21" x14ac:dyDescent="0.25">
      <c r="A346" s="1">
        <v>62430032</v>
      </c>
      <c r="B346" s="1">
        <v>209487</v>
      </c>
      <c r="C346" s="1" t="s">
        <v>261</v>
      </c>
      <c r="D346" s="1" t="s">
        <v>145</v>
      </c>
      <c r="E346" s="1" t="s">
        <v>334</v>
      </c>
      <c r="F346" s="1" t="s">
        <v>76</v>
      </c>
      <c r="G346" s="1" t="s">
        <v>23</v>
      </c>
      <c r="H346" s="1" t="s">
        <v>19</v>
      </c>
      <c r="I346" s="1" t="s">
        <v>103</v>
      </c>
      <c r="J346" s="1" t="s">
        <v>104</v>
      </c>
      <c r="K346" s="1" t="str">
        <f>VLOOKUP(J346,'IU Major Match'!$D$2:$E$65,2,FALSE)</f>
        <v xml:space="preserve">Major exists in IU </v>
      </c>
      <c r="L346" s="1">
        <v>96171976629</v>
      </c>
      <c r="M346" s="1" t="s">
        <v>113</v>
      </c>
      <c r="N346" s="11">
        <v>100</v>
      </c>
      <c r="O346" s="11">
        <v>18</v>
      </c>
      <c r="P346" s="11">
        <v>13</v>
      </c>
      <c r="Q346" s="11">
        <v>69</v>
      </c>
      <c r="R346" s="5">
        <f t="shared" si="20"/>
        <v>0.31</v>
      </c>
      <c r="S346" s="13" t="str">
        <f t="shared" si="21"/>
        <v>=&lt;50</v>
      </c>
      <c r="T346" s="14">
        <f t="shared" si="22"/>
        <v>5</v>
      </c>
      <c r="U346" s="14">
        <f t="shared" si="23"/>
        <v>2.5</v>
      </c>
    </row>
    <row r="347" spans="1:21" x14ac:dyDescent="0.25">
      <c r="A347" s="1">
        <v>62330040</v>
      </c>
      <c r="B347" s="1">
        <v>198759</v>
      </c>
      <c r="C347" s="1" t="s">
        <v>261</v>
      </c>
      <c r="D347" s="1" t="s">
        <v>425</v>
      </c>
      <c r="E347" s="1" t="s">
        <v>765</v>
      </c>
      <c r="F347" s="1" t="s">
        <v>76</v>
      </c>
      <c r="G347" s="1" t="s">
        <v>23</v>
      </c>
      <c r="H347" s="1" t="s">
        <v>19</v>
      </c>
      <c r="I347" s="1" t="s">
        <v>103</v>
      </c>
      <c r="J347" s="1" t="s">
        <v>104</v>
      </c>
      <c r="K347" s="1" t="str">
        <f>VLOOKUP(J347,'IU Major Match'!$D$2:$E$65,2,FALSE)</f>
        <v xml:space="preserve">Major exists in IU </v>
      </c>
      <c r="L347" s="1">
        <v>96176766065</v>
      </c>
      <c r="M347" s="1" t="s">
        <v>90</v>
      </c>
      <c r="N347" s="11">
        <v>100</v>
      </c>
      <c r="O347" s="11">
        <v>87</v>
      </c>
      <c r="P347" s="11">
        <v>13</v>
      </c>
      <c r="Q347" s="11">
        <v>0</v>
      </c>
      <c r="R347" s="5">
        <f t="shared" si="20"/>
        <v>1</v>
      </c>
      <c r="S347" s="13" t="str">
        <f t="shared" si="21"/>
        <v>&gt;50</v>
      </c>
      <c r="T347" s="14">
        <f t="shared" si="22"/>
        <v>0</v>
      </c>
      <c r="U347" s="14">
        <f t="shared" si="23"/>
        <v>0</v>
      </c>
    </row>
    <row r="348" spans="1:21" x14ac:dyDescent="0.25">
      <c r="A348" s="1">
        <v>62030084</v>
      </c>
      <c r="B348" s="1">
        <v>158428</v>
      </c>
      <c r="C348" s="1" t="s">
        <v>261</v>
      </c>
      <c r="D348" s="1" t="s">
        <v>766</v>
      </c>
      <c r="E348" s="1" t="s">
        <v>767</v>
      </c>
      <c r="F348" s="1" t="s">
        <v>76</v>
      </c>
      <c r="G348" s="1" t="s">
        <v>18</v>
      </c>
      <c r="H348" s="1" t="s">
        <v>19</v>
      </c>
      <c r="I348" s="1" t="s">
        <v>77</v>
      </c>
      <c r="J348" s="1" t="s">
        <v>78</v>
      </c>
      <c r="K348" s="1" t="str">
        <f>VLOOKUP(J348,'IU Major Match'!$D$2:$E$65,2,FALSE)</f>
        <v>Can be Transferred to Bachelor of Engineering</v>
      </c>
      <c r="L348" s="1">
        <v>71927003</v>
      </c>
      <c r="M348" s="1" t="s">
        <v>51</v>
      </c>
      <c r="N348" s="11">
        <v>108</v>
      </c>
      <c r="O348" s="11">
        <v>31</v>
      </c>
      <c r="P348" s="11">
        <v>9</v>
      </c>
      <c r="Q348" s="11">
        <v>68</v>
      </c>
      <c r="R348" s="5">
        <f t="shared" si="20"/>
        <v>0.37037037037037035</v>
      </c>
      <c r="S348" s="13" t="str">
        <f t="shared" si="21"/>
        <v>=&lt;50</v>
      </c>
      <c r="T348" s="14">
        <f t="shared" si="22"/>
        <v>5</v>
      </c>
      <c r="U348" s="14">
        <f t="shared" si="23"/>
        <v>2.5</v>
      </c>
    </row>
    <row r="349" spans="1:21" x14ac:dyDescent="0.25">
      <c r="A349" s="1">
        <v>62430213</v>
      </c>
      <c r="B349" s="1">
        <v>214199</v>
      </c>
      <c r="C349" s="1" t="s">
        <v>261</v>
      </c>
      <c r="D349" s="1" t="s">
        <v>119</v>
      </c>
      <c r="E349" s="1" t="s">
        <v>768</v>
      </c>
      <c r="F349" s="1" t="s">
        <v>76</v>
      </c>
      <c r="G349" s="1" t="s">
        <v>23</v>
      </c>
      <c r="H349" s="1" t="s">
        <v>19</v>
      </c>
      <c r="I349" s="1" t="s">
        <v>397</v>
      </c>
      <c r="J349" s="1" t="s">
        <v>398</v>
      </c>
      <c r="K349" s="1" t="str">
        <f>VLOOKUP(J349,'IU Major Match'!$D$2:$E$65,2,FALSE)</f>
        <v xml:space="preserve">Major exists in IU </v>
      </c>
      <c r="L349" s="1">
        <v>70506325</v>
      </c>
      <c r="M349" s="1" t="s">
        <v>113</v>
      </c>
      <c r="N349" s="11">
        <v>99</v>
      </c>
      <c r="O349" s="11">
        <v>0</v>
      </c>
      <c r="P349" s="11">
        <v>15</v>
      </c>
      <c r="Q349" s="11">
        <v>84</v>
      </c>
      <c r="R349" s="5">
        <f t="shared" si="20"/>
        <v>0.15151515151515152</v>
      </c>
      <c r="S349" s="13" t="str">
        <f t="shared" si="21"/>
        <v>=&lt;50</v>
      </c>
      <c r="T349" s="14">
        <f t="shared" si="22"/>
        <v>6</v>
      </c>
      <c r="U349" s="14">
        <f t="shared" si="23"/>
        <v>3</v>
      </c>
    </row>
    <row r="350" spans="1:21" x14ac:dyDescent="0.25">
      <c r="A350" s="1">
        <v>62330147</v>
      </c>
      <c r="B350" s="1">
        <v>200555</v>
      </c>
      <c r="C350" s="1" t="s">
        <v>261</v>
      </c>
      <c r="D350" s="1" t="s">
        <v>769</v>
      </c>
      <c r="E350" s="1" t="s">
        <v>770</v>
      </c>
      <c r="F350" s="1" t="s">
        <v>76</v>
      </c>
      <c r="G350" s="1" t="s">
        <v>93</v>
      </c>
      <c r="H350" s="1" t="s">
        <v>19</v>
      </c>
      <c r="I350" s="1" t="s">
        <v>111</v>
      </c>
      <c r="J350" s="1" t="s">
        <v>112</v>
      </c>
      <c r="K350" s="1" t="str">
        <f>VLOOKUP(J350,'IU Major Match'!$D$2:$E$65,2,FALSE)</f>
        <v xml:space="preserve">Major exists in IU </v>
      </c>
      <c r="L350" s="1">
        <v>96176022033</v>
      </c>
      <c r="M350" s="1" t="s">
        <v>90</v>
      </c>
      <c r="N350" s="11">
        <v>99</v>
      </c>
      <c r="O350" s="11">
        <v>21</v>
      </c>
      <c r="P350" s="11">
        <v>13</v>
      </c>
      <c r="Q350" s="11">
        <v>69</v>
      </c>
      <c r="R350" s="5">
        <f t="shared" si="20"/>
        <v>0.34343434343434343</v>
      </c>
      <c r="S350" s="13" t="str">
        <f t="shared" si="21"/>
        <v>=&lt;50</v>
      </c>
      <c r="T350" s="14">
        <f t="shared" si="22"/>
        <v>5</v>
      </c>
      <c r="U350" s="14">
        <f t="shared" si="23"/>
        <v>2.5</v>
      </c>
    </row>
    <row r="351" spans="1:21" x14ac:dyDescent="0.25">
      <c r="A351" s="1">
        <v>62610016</v>
      </c>
      <c r="B351" s="1">
        <v>227242</v>
      </c>
      <c r="C351" s="1" t="s">
        <v>261</v>
      </c>
      <c r="D351" s="1" t="s">
        <v>455</v>
      </c>
      <c r="E351" s="1" t="s">
        <v>31</v>
      </c>
      <c r="F351" s="1" t="s">
        <v>76</v>
      </c>
      <c r="G351" s="1" t="s">
        <v>23</v>
      </c>
      <c r="H351" s="1" t="s">
        <v>19</v>
      </c>
      <c r="I351" s="1" t="s">
        <v>397</v>
      </c>
      <c r="J351" s="1" t="s">
        <v>398</v>
      </c>
      <c r="K351" s="1" t="str">
        <f>VLOOKUP(J351,'IU Major Match'!$D$2:$E$65,2,FALSE)</f>
        <v xml:space="preserve">Major exists in IU </v>
      </c>
      <c r="L351" s="1">
        <v>96179158279</v>
      </c>
      <c r="M351" s="1" t="s">
        <v>84</v>
      </c>
      <c r="N351" s="11">
        <v>99</v>
      </c>
      <c r="O351" s="11">
        <v>0</v>
      </c>
      <c r="P351" s="11">
        <v>13</v>
      </c>
      <c r="Q351" s="11">
        <v>90</v>
      </c>
      <c r="R351" s="5">
        <f t="shared" si="20"/>
        <v>0.13131313131313133</v>
      </c>
      <c r="S351" s="13" t="str">
        <f t="shared" si="21"/>
        <v>=&lt;50</v>
      </c>
      <c r="T351" s="14">
        <f t="shared" si="22"/>
        <v>6</v>
      </c>
      <c r="U351" s="14">
        <f t="shared" si="23"/>
        <v>3</v>
      </c>
    </row>
    <row r="352" spans="1:21" x14ac:dyDescent="0.25">
      <c r="A352" s="1">
        <v>62430001</v>
      </c>
      <c r="B352" s="1">
        <v>213108</v>
      </c>
      <c r="C352" s="1" t="s">
        <v>261</v>
      </c>
      <c r="D352" s="1" t="s">
        <v>771</v>
      </c>
      <c r="E352" s="1" t="s">
        <v>263</v>
      </c>
      <c r="F352" s="1" t="s">
        <v>76</v>
      </c>
      <c r="G352" s="1" t="s">
        <v>200</v>
      </c>
      <c r="H352" s="1" t="s">
        <v>19</v>
      </c>
      <c r="I352" s="1" t="s">
        <v>201</v>
      </c>
      <c r="J352" s="1" t="s">
        <v>202</v>
      </c>
      <c r="K352" s="1" t="str">
        <f>VLOOKUP(J352,'IU Major Match'!$D$2:$E$65,2,FALSE)</f>
        <v>Major Dont exists in IU</v>
      </c>
      <c r="L352" s="1">
        <v>71950604</v>
      </c>
      <c r="M352" s="1" t="s">
        <v>113</v>
      </c>
      <c r="N352" s="11">
        <v>65</v>
      </c>
      <c r="O352" s="11">
        <v>53</v>
      </c>
      <c r="P352" s="11">
        <v>12</v>
      </c>
      <c r="Q352" s="11">
        <v>0</v>
      </c>
      <c r="R352" s="5">
        <f t="shared" si="20"/>
        <v>1</v>
      </c>
      <c r="S352" s="13" t="str">
        <f t="shared" si="21"/>
        <v>&gt;50</v>
      </c>
      <c r="T352" s="14">
        <f t="shared" si="22"/>
        <v>0</v>
      </c>
      <c r="U352" s="14">
        <f t="shared" si="23"/>
        <v>0</v>
      </c>
    </row>
    <row r="353" spans="1:21" x14ac:dyDescent="0.25">
      <c r="A353" s="1">
        <v>62430204</v>
      </c>
      <c r="B353" s="1">
        <v>213380</v>
      </c>
      <c r="C353" s="1" t="s">
        <v>772</v>
      </c>
      <c r="D353" s="1" t="s">
        <v>198</v>
      </c>
      <c r="E353" s="1" t="s">
        <v>612</v>
      </c>
      <c r="F353" s="1" t="s">
        <v>76</v>
      </c>
      <c r="G353" s="1" t="s">
        <v>23</v>
      </c>
      <c r="H353" s="1" t="s">
        <v>19</v>
      </c>
      <c r="I353" s="1" t="s">
        <v>159</v>
      </c>
      <c r="J353" s="1" t="s">
        <v>160</v>
      </c>
      <c r="K353" s="1" t="str">
        <f>VLOOKUP(J353,'IU Major Match'!$D$2:$E$65,2,FALSE)</f>
        <v xml:space="preserve">Major exists in IU </v>
      </c>
      <c r="L353" s="1">
        <v>96181870134</v>
      </c>
      <c r="M353" s="1" t="s">
        <v>113</v>
      </c>
      <c r="N353" s="11">
        <v>99</v>
      </c>
      <c r="O353" s="11">
        <v>49</v>
      </c>
      <c r="P353" s="11">
        <v>19</v>
      </c>
      <c r="Q353" s="11">
        <v>31</v>
      </c>
      <c r="R353" s="5">
        <f t="shared" si="20"/>
        <v>0.68686868686868685</v>
      </c>
      <c r="S353" s="13" t="str">
        <f t="shared" si="21"/>
        <v>&gt;50</v>
      </c>
      <c r="T353" s="14">
        <f t="shared" si="22"/>
        <v>3</v>
      </c>
      <c r="U353" s="14">
        <f t="shared" si="23"/>
        <v>1.5</v>
      </c>
    </row>
    <row r="354" spans="1:21" x14ac:dyDescent="0.25">
      <c r="A354" s="1">
        <v>62610029</v>
      </c>
      <c r="B354" s="1">
        <v>227558</v>
      </c>
      <c r="C354" s="1" t="s">
        <v>773</v>
      </c>
      <c r="D354" s="1" t="s">
        <v>64</v>
      </c>
      <c r="E354" s="1" t="s">
        <v>774</v>
      </c>
      <c r="F354" s="1" t="s">
        <v>76</v>
      </c>
      <c r="G354" s="1" t="s">
        <v>23</v>
      </c>
      <c r="H354" s="1" t="s">
        <v>19</v>
      </c>
      <c r="I354" s="1" t="s">
        <v>775</v>
      </c>
      <c r="J354" s="1" t="s">
        <v>776</v>
      </c>
      <c r="K354" s="1" t="str">
        <f>VLOOKUP(J354,'IU Major Match'!$D$2:$E$65,2,FALSE)</f>
        <v xml:space="preserve">Major exists in IU </v>
      </c>
      <c r="L354" s="1">
        <v>96176537562</v>
      </c>
      <c r="M354" s="1" t="s">
        <v>84</v>
      </c>
      <c r="N354" s="11">
        <v>99</v>
      </c>
      <c r="O354" s="11">
        <v>0</v>
      </c>
      <c r="P354" s="11">
        <v>7</v>
      </c>
      <c r="Q354" s="11">
        <v>99</v>
      </c>
      <c r="R354" s="5">
        <f t="shared" si="20"/>
        <v>7.0707070707070704E-2</v>
      </c>
      <c r="S354" s="13" t="str">
        <f t="shared" si="21"/>
        <v>=&lt;50</v>
      </c>
      <c r="T354" s="14">
        <f t="shared" si="22"/>
        <v>7</v>
      </c>
      <c r="U354" s="14">
        <f t="shared" si="23"/>
        <v>3.5</v>
      </c>
    </row>
    <row r="355" spans="1:21" x14ac:dyDescent="0.25">
      <c r="A355" s="1">
        <v>62530168</v>
      </c>
      <c r="B355" s="1">
        <v>222891</v>
      </c>
      <c r="C355" s="1" t="s">
        <v>777</v>
      </c>
      <c r="D355" s="1" t="s">
        <v>778</v>
      </c>
      <c r="E355" s="1" t="s">
        <v>779</v>
      </c>
      <c r="F355" s="1" t="s">
        <v>76</v>
      </c>
      <c r="G355" s="1" t="s">
        <v>23</v>
      </c>
      <c r="H355" s="1" t="s">
        <v>19</v>
      </c>
      <c r="I355" s="1" t="s">
        <v>142</v>
      </c>
      <c r="J355" s="1" t="s">
        <v>143</v>
      </c>
      <c r="K355" s="1" t="str">
        <f>VLOOKUP(J355,'IU Major Match'!$D$2:$E$65,2,FALSE)</f>
        <v xml:space="preserve">Major exists in IU </v>
      </c>
      <c r="L355" s="1">
        <v>96171646914</v>
      </c>
      <c r="M355" s="1" t="s">
        <v>99</v>
      </c>
      <c r="N355" s="11">
        <v>99</v>
      </c>
      <c r="O355" s="11">
        <v>6</v>
      </c>
      <c r="P355" s="11">
        <v>13</v>
      </c>
      <c r="Q355" s="11">
        <v>88</v>
      </c>
      <c r="R355" s="5">
        <f t="shared" si="20"/>
        <v>0.19191919191919191</v>
      </c>
      <c r="S355" s="13" t="str">
        <f t="shared" si="21"/>
        <v>=&lt;50</v>
      </c>
      <c r="T355" s="14">
        <f t="shared" si="22"/>
        <v>6</v>
      </c>
      <c r="U355" s="14">
        <f t="shared" si="23"/>
        <v>3</v>
      </c>
    </row>
    <row r="356" spans="1:21" x14ac:dyDescent="0.25">
      <c r="A356" s="1">
        <v>62130357</v>
      </c>
      <c r="B356" s="1">
        <v>227191</v>
      </c>
      <c r="C356" s="1" t="s">
        <v>777</v>
      </c>
      <c r="D356" s="1" t="s">
        <v>426</v>
      </c>
      <c r="E356" s="1" t="s">
        <v>780</v>
      </c>
      <c r="F356" s="1" t="s">
        <v>76</v>
      </c>
      <c r="G356" s="1" t="s">
        <v>93</v>
      </c>
      <c r="H356" s="1" t="s">
        <v>19</v>
      </c>
      <c r="I356" s="1" t="s">
        <v>216</v>
      </c>
      <c r="J356" s="1" t="s">
        <v>217</v>
      </c>
      <c r="K356" s="1" t="str">
        <f>VLOOKUP(J356,'IU Major Match'!$D$2:$E$65,2,FALSE)</f>
        <v xml:space="preserve">Major exists in IU </v>
      </c>
      <c r="L356" s="1">
        <v>76180059</v>
      </c>
      <c r="M356" s="1" t="s">
        <v>99</v>
      </c>
      <c r="N356" s="11">
        <v>99</v>
      </c>
      <c r="O356" s="11">
        <v>24</v>
      </c>
      <c r="P356" s="11">
        <v>12</v>
      </c>
      <c r="Q356" s="11">
        <v>63</v>
      </c>
      <c r="R356" s="5">
        <f t="shared" si="20"/>
        <v>0.36363636363636365</v>
      </c>
      <c r="S356" s="13" t="str">
        <f t="shared" si="21"/>
        <v>=&lt;50</v>
      </c>
      <c r="T356" s="14">
        <f t="shared" si="22"/>
        <v>5</v>
      </c>
      <c r="U356" s="14">
        <f t="shared" si="23"/>
        <v>2.5</v>
      </c>
    </row>
    <row r="357" spans="1:21" x14ac:dyDescent="0.25">
      <c r="A357" s="1">
        <v>62430035</v>
      </c>
      <c r="B357" s="1">
        <v>209475</v>
      </c>
      <c r="C357" s="1" t="s">
        <v>781</v>
      </c>
      <c r="D357" s="1" t="s">
        <v>383</v>
      </c>
      <c r="E357" s="1" t="s">
        <v>782</v>
      </c>
      <c r="F357" s="1" t="s">
        <v>76</v>
      </c>
      <c r="G357" s="1" t="s">
        <v>23</v>
      </c>
      <c r="H357" s="1" t="s">
        <v>19</v>
      </c>
      <c r="I357" s="1" t="s">
        <v>208</v>
      </c>
      <c r="J357" s="1" t="s">
        <v>209</v>
      </c>
      <c r="K357" s="1" t="str">
        <f>VLOOKUP(J357,'IU Major Match'!$D$2:$E$65,2,FALSE)</f>
        <v>Major Dont exists in IU</v>
      </c>
      <c r="L357" s="1">
        <v>96176302524</v>
      </c>
      <c r="M357" s="1" t="s">
        <v>113</v>
      </c>
      <c r="N357" s="11">
        <v>99</v>
      </c>
      <c r="O357" s="11">
        <v>6</v>
      </c>
      <c r="P357" s="11">
        <v>7</v>
      </c>
      <c r="Q357" s="11">
        <v>89</v>
      </c>
      <c r="R357" s="5">
        <f t="shared" si="20"/>
        <v>0.13131313131313133</v>
      </c>
      <c r="S357" s="13" t="str">
        <f t="shared" si="21"/>
        <v>=&lt;50</v>
      </c>
      <c r="T357" s="14">
        <f t="shared" si="22"/>
        <v>6</v>
      </c>
      <c r="U357" s="14">
        <f t="shared" si="23"/>
        <v>3</v>
      </c>
    </row>
    <row r="358" spans="1:21" x14ac:dyDescent="0.25">
      <c r="A358" s="1">
        <v>62330122</v>
      </c>
      <c r="B358" s="1">
        <v>199867</v>
      </c>
      <c r="C358" s="1" t="s">
        <v>783</v>
      </c>
      <c r="D358" s="1" t="s">
        <v>416</v>
      </c>
      <c r="E358" s="1" t="s">
        <v>784</v>
      </c>
      <c r="F358" s="1" t="s">
        <v>76</v>
      </c>
      <c r="G358" s="1" t="s">
        <v>93</v>
      </c>
      <c r="H358" s="1" t="s">
        <v>19</v>
      </c>
      <c r="I358" s="1" t="s">
        <v>124</v>
      </c>
      <c r="J358" s="1" t="s">
        <v>125</v>
      </c>
      <c r="K358" s="1" t="str">
        <f>VLOOKUP(J358,'IU Major Match'!$D$2:$E$65,2,FALSE)</f>
        <v xml:space="preserve">Major exists in IU </v>
      </c>
      <c r="L358" s="1">
        <v>96171487503</v>
      </c>
      <c r="M358" s="1" t="s">
        <v>90</v>
      </c>
      <c r="N358" s="11">
        <v>99</v>
      </c>
      <c r="O358" s="11">
        <v>33</v>
      </c>
      <c r="P358" s="11">
        <v>15</v>
      </c>
      <c r="Q358" s="11">
        <v>51</v>
      </c>
      <c r="R358" s="5">
        <f t="shared" si="20"/>
        <v>0.48484848484848486</v>
      </c>
      <c r="S358" s="13" t="str">
        <f t="shared" si="21"/>
        <v>=&lt;50</v>
      </c>
      <c r="T358" s="14">
        <f t="shared" si="22"/>
        <v>4</v>
      </c>
      <c r="U358" s="14">
        <f t="shared" si="23"/>
        <v>2</v>
      </c>
    </row>
    <row r="359" spans="1:21" x14ac:dyDescent="0.25">
      <c r="A359" s="1">
        <v>62530155</v>
      </c>
      <c r="B359" s="1">
        <v>222163</v>
      </c>
      <c r="C359" s="1" t="s">
        <v>783</v>
      </c>
      <c r="D359" s="1" t="s">
        <v>231</v>
      </c>
      <c r="E359" s="1" t="s">
        <v>785</v>
      </c>
      <c r="F359" s="1" t="s">
        <v>76</v>
      </c>
      <c r="G359" s="1" t="s">
        <v>68</v>
      </c>
      <c r="H359" s="1" t="s">
        <v>19</v>
      </c>
      <c r="I359" s="1" t="s">
        <v>786</v>
      </c>
      <c r="J359" s="1" t="s">
        <v>787</v>
      </c>
      <c r="K359" s="1" t="str">
        <f>VLOOKUP(J359,'IU Major Match'!$D$2:$E$65,2,FALSE)</f>
        <v>Major Dont exists in IU</v>
      </c>
      <c r="L359" s="1">
        <v>81489811</v>
      </c>
      <c r="M359" s="1" t="s">
        <v>99</v>
      </c>
      <c r="N359" s="11">
        <v>99</v>
      </c>
      <c r="O359" s="11">
        <v>0</v>
      </c>
      <c r="P359" s="11">
        <v>10</v>
      </c>
      <c r="Q359" s="11">
        <v>97</v>
      </c>
      <c r="R359" s="5">
        <f t="shared" si="20"/>
        <v>0.10101010101010101</v>
      </c>
      <c r="S359" s="13" t="str">
        <f t="shared" si="21"/>
        <v>=&lt;50</v>
      </c>
      <c r="T359" s="14">
        <f t="shared" si="22"/>
        <v>7</v>
      </c>
      <c r="U359" s="14">
        <f t="shared" si="23"/>
        <v>3.5</v>
      </c>
    </row>
    <row r="360" spans="1:21" x14ac:dyDescent="0.25">
      <c r="A360" s="1">
        <v>62430222</v>
      </c>
      <c r="B360" s="1">
        <v>213342</v>
      </c>
      <c r="C360" s="1" t="s">
        <v>783</v>
      </c>
      <c r="D360" s="1" t="s">
        <v>788</v>
      </c>
      <c r="E360" s="1" t="s">
        <v>789</v>
      </c>
      <c r="F360" s="1" t="s">
        <v>76</v>
      </c>
      <c r="G360" s="1" t="s">
        <v>23</v>
      </c>
      <c r="H360" s="1" t="s">
        <v>19</v>
      </c>
      <c r="I360" s="1" t="s">
        <v>542</v>
      </c>
      <c r="J360" s="1" t="s">
        <v>543</v>
      </c>
      <c r="K360" s="1" t="str">
        <f>VLOOKUP(J360,'IU Major Match'!$D$2:$E$65,2,FALSE)</f>
        <v xml:space="preserve">Major exists in IU </v>
      </c>
      <c r="L360" s="1">
        <v>96181923150</v>
      </c>
      <c r="M360" s="1" t="s">
        <v>113</v>
      </c>
      <c r="N360" s="11">
        <v>108</v>
      </c>
      <c r="O360" s="11">
        <v>51</v>
      </c>
      <c r="P360" s="11">
        <v>18</v>
      </c>
      <c r="Q360" s="11">
        <v>39</v>
      </c>
      <c r="R360" s="5">
        <f t="shared" si="20"/>
        <v>0.63888888888888884</v>
      </c>
      <c r="S360" s="13" t="str">
        <f t="shared" si="21"/>
        <v>&gt;50</v>
      </c>
      <c r="T360" s="14">
        <f t="shared" si="22"/>
        <v>3</v>
      </c>
      <c r="U360" s="14">
        <f t="shared" si="23"/>
        <v>1.5</v>
      </c>
    </row>
    <row r="361" spans="1:21" x14ac:dyDescent="0.25">
      <c r="A361" s="1">
        <v>61830017</v>
      </c>
      <c r="B361" s="1">
        <v>198434</v>
      </c>
      <c r="C361" s="1" t="s">
        <v>783</v>
      </c>
      <c r="D361" s="1" t="s">
        <v>536</v>
      </c>
      <c r="E361" s="1" t="s">
        <v>790</v>
      </c>
      <c r="F361" s="1" t="s">
        <v>76</v>
      </c>
      <c r="G361" s="1" t="s">
        <v>18</v>
      </c>
      <c r="H361" s="1" t="s">
        <v>19</v>
      </c>
      <c r="I361" s="1" t="s">
        <v>245</v>
      </c>
      <c r="J361" s="1" t="s">
        <v>246</v>
      </c>
      <c r="K361" s="1" t="str">
        <f>VLOOKUP(J361,'IU Major Match'!$D$2:$E$65,2,FALSE)</f>
        <v>Major Dont exists in IU</v>
      </c>
      <c r="L361" s="1">
        <v>71087593</v>
      </c>
      <c r="M361" s="1" t="s">
        <v>423</v>
      </c>
      <c r="N361" s="11">
        <v>114</v>
      </c>
      <c r="O361" s="11">
        <v>41</v>
      </c>
      <c r="P361" s="11">
        <v>4</v>
      </c>
      <c r="Q361" s="11">
        <v>64</v>
      </c>
      <c r="R361" s="5">
        <f t="shared" si="20"/>
        <v>0.39473684210526316</v>
      </c>
      <c r="S361" s="13" t="str">
        <f t="shared" si="21"/>
        <v>=&lt;50</v>
      </c>
      <c r="T361" s="14">
        <f t="shared" si="22"/>
        <v>5</v>
      </c>
      <c r="U361" s="14">
        <f t="shared" si="23"/>
        <v>2.5</v>
      </c>
    </row>
    <row r="362" spans="1:21" x14ac:dyDescent="0.25">
      <c r="A362" s="1">
        <v>62330251</v>
      </c>
      <c r="B362" s="1">
        <v>203754</v>
      </c>
      <c r="C362" s="1" t="s">
        <v>791</v>
      </c>
      <c r="D362" s="1" t="s">
        <v>38</v>
      </c>
      <c r="E362" s="1" t="s">
        <v>388</v>
      </c>
      <c r="F362" s="1" t="s">
        <v>76</v>
      </c>
      <c r="G362" s="1" t="s">
        <v>18</v>
      </c>
      <c r="H362" s="1" t="s">
        <v>19</v>
      </c>
      <c r="I362" s="1" t="s">
        <v>302</v>
      </c>
      <c r="J362" s="1" t="s">
        <v>303</v>
      </c>
      <c r="K362" s="1" t="str">
        <f>VLOOKUP(J362,'IU Major Match'!$D$2:$E$65,2,FALSE)</f>
        <v>Can be Transferred to Bachelor of Engineering</v>
      </c>
      <c r="L362" s="1">
        <v>96171431535</v>
      </c>
      <c r="M362" s="1" t="s">
        <v>90</v>
      </c>
      <c r="N362" s="11">
        <v>108</v>
      </c>
      <c r="O362" s="11">
        <v>87</v>
      </c>
      <c r="P362" s="11">
        <v>15</v>
      </c>
      <c r="Q362" s="11">
        <v>6</v>
      </c>
      <c r="R362" s="5">
        <f t="shared" si="20"/>
        <v>0.94444444444444442</v>
      </c>
      <c r="S362" s="13" t="str">
        <f t="shared" si="21"/>
        <v>&gt;50</v>
      </c>
      <c r="T362" s="14">
        <f t="shared" si="22"/>
        <v>1</v>
      </c>
      <c r="U362" s="14">
        <f t="shared" si="23"/>
        <v>0.5</v>
      </c>
    </row>
    <row r="363" spans="1:21" x14ac:dyDescent="0.25">
      <c r="A363" s="1">
        <v>62430341</v>
      </c>
      <c r="B363" s="1">
        <v>218683</v>
      </c>
      <c r="C363" s="1" t="s">
        <v>792</v>
      </c>
      <c r="D363" s="1" t="s">
        <v>793</v>
      </c>
      <c r="E363" s="1" t="s">
        <v>794</v>
      </c>
      <c r="F363" s="1" t="s">
        <v>76</v>
      </c>
      <c r="G363" s="1" t="s">
        <v>23</v>
      </c>
      <c r="H363" s="1" t="s">
        <v>19</v>
      </c>
      <c r="I363" s="1" t="s">
        <v>438</v>
      </c>
      <c r="J363" s="1" t="s">
        <v>439</v>
      </c>
      <c r="K363" s="1" t="str">
        <f>VLOOKUP(J363,'IU Major Match'!$D$2:$E$65,2,FALSE)</f>
        <v xml:space="preserve">Major exists in IU </v>
      </c>
      <c r="L363" s="1">
        <v>71677465</v>
      </c>
      <c r="M363" s="1" t="s">
        <v>113</v>
      </c>
      <c r="N363" s="11">
        <v>108</v>
      </c>
      <c r="O363" s="11">
        <v>66</v>
      </c>
      <c r="P363" s="11">
        <v>18</v>
      </c>
      <c r="Q363" s="11">
        <v>24</v>
      </c>
      <c r="R363" s="5">
        <f t="shared" si="20"/>
        <v>0.77777777777777779</v>
      </c>
      <c r="S363" s="13" t="str">
        <f t="shared" si="21"/>
        <v>&gt;50</v>
      </c>
      <c r="T363" s="14">
        <f t="shared" si="22"/>
        <v>2</v>
      </c>
      <c r="U363" s="14">
        <f t="shared" si="23"/>
        <v>1</v>
      </c>
    </row>
    <row r="364" spans="1:21" x14ac:dyDescent="0.25">
      <c r="A364" s="1">
        <v>62530167</v>
      </c>
      <c r="B364" s="1">
        <v>222896</v>
      </c>
      <c r="C364" s="1" t="s">
        <v>792</v>
      </c>
      <c r="D364" s="1" t="s">
        <v>383</v>
      </c>
      <c r="E364" s="1" t="s">
        <v>795</v>
      </c>
      <c r="F364" s="1" t="s">
        <v>76</v>
      </c>
      <c r="G364" s="1" t="s">
        <v>23</v>
      </c>
      <c r="H364" s="1" t="s">
        <v>19</v>
      </c>
      <c r="I364" s="1" t="s">
        <v>142</v>
      </c>
      <c r="J364" s="1" t="s">
        <v>143</v>
      </c>
      <c r="K364" s="1" t="str">
        <f>VLOOKUP(J364,'IU Major Match'!$D$2:$E$65,2,FALSE)</f>
        <v xml:space="preserve">Major exists in IU </v>
      </c>
      <c r="L364" s="1">
        <v>76434832</v>
      </c>
      <c r="M364" s="1" t="s">
        <v>99</v>
      </c>
      <c r="N364" s="11">
        <v>99</v>
      </c>
      <c r="O364" s="11">
        <v>0</v>
      </c>
      <c r="P364" s="11">
        <v>13</v>
      </c>
      <c r="Q364" s="11">
        <v>94</v>
      </c>
      <c r="R364" s="5">
        <f t="shared" si="20"/>
        <v>0.13131313131313133</v>
      </c>
      <c r="S364" s="13" t="str">
        <f t="shared" si="21"/>
        <v>=&lt;50</v>
      </c>
      <c r="T364" s="14">
        <f t="shared" si="22"/>
        <v>7</v>
      </c>
      <c r="U364" s="14">
        <f t="shared" si="23"/>
        <v>3.5</v>
      </c>
    </row>
    <row r="365" spans="1:21" x14ac:dyDescent="0.25">
      <c r="A365" s="1">
        <v>62310009</v>
      </c>
      <c r="B365" s="1">
        <v>196945</v>
      </c>
      <c r="C365" s="1" t="s">
        <v>792</v>
      </c>
      <c r="D365" s="1" t="s">
        <v>536</v>
      </c>
      <c r="E365" s="1" t="s">
        <v>796</v>
      </c>
      <c r="F365" s="1" t="s">
        <v>76</v>
      </c>
      <c r="G365" s="1" t="s">
        <v>23</v>
      </c>
      <c r="H365" s="1" t="s">
        <v>19</v>
      </c>
      <c r="I365" s="1" t="s">
        <v>116</v>
      </c>
      <c r="J365" s="1" t="s">
        <v>117</v>
      </c>
      <c r="K365" s="1" t="str">
        <f>VLOOKUP(J365,'IU Major Match'!$D$2:$E$65,2,FALSE)</f>
        <v>Major Dont exists in IU</v>
      </c>
      <c r="L365" s="1">
        <v>96178896290</v>
      </c>
      <c r="M365" s="1" t="s">
        <v>178</v>
      </c>
      <c r="N365" s="11">
        <v>99</v>
      </c>
      <c r="O365" s="11">
        <v>82</v>
      </c>
      <c r="P365" s="11">
        <v>17</v>
      </c>
      <c r="Q365" s="11">
        <v>0</v>
      </c>
      <c r="R365" s="5">
        <f t="shared" si="20"/>
        <v>1</v>
      </c>
      <c r="S365" s="13" t="str">
        <f t="shared" si="21"/>
        <v>&gt;50</v>
      </c>
      <c r="T365" s="14">
        <f t="shared" si="22"/>
        <v>0</v>
      </c>
      <c r="U365" s="14">
        <f t="shared" si="23"/>
        <v>0</v>
      </c>
    </row>
    <row r="366" spans="1:21" x14ac:dyDescent="0.25">
      <c r="A366" s="1">
        <v>62430051</v>
      </c>
      <c r="B366" s="1">
        <v>209472</v>
      </c>
      <c r="C366" s="1" t="s">
        <v>797</v>
      </c>
      <c r="D366" s="1" t="s">
        <v>273</v>
      </c>
      <c r="E366" s="1" t="s">
        <v>798</v>
      </c>
      <c r="F366" s="1" t="s">
        <v>76</v>
      </c>
      <c r="G366" s="1" t="s">
        <v>93</v>
      </c>
      <c r="H366" s="1" t="s">
        <v>19</v>
      </c>
      <c r="I366" s="1" t="s">
        <v>107</v>
      </c>
      <c r="J366" s="1" t="s">
        <v>108</v>
      </c>
      <c r="K366" s="1" t="str">
        <f>VLOOKUP(J366,'IU Major Match'!$D$2:$E$65,2,FALSE)</f>
        <v xml:space="preserve">Major exists in IU </v>
      </c>
      <c r="L366" s="1">
        <v>71925268</v>
      </c>
      <c r="M366" s="1" t="s">
        <v>113</v>
      </c>
      <c r="N366" s="11">
        <v>99</v>
      </c>
      <c r="O366" s="11">
        <v>15</v>
      </c>
      <c r="P366" s="11">
        <v>12</v>
      </c>
      <c r="Q366" s="11">
        <v>72</v>
      </c>
      <c r="R366" s="5">
        <f t="shared" si="20"/>
        <v>0.27272727272727271</v>
      </c>
      <c r="S366" s="13" t="str">
        <f t="shared" si="21"/>
        <v>=&lt;50</v>
      </c>
      <c r="T366" s="14">
        <f t="shared" si="22"/>
        <v>5</v>
      </c>
      <c r="U366" s="14">
        <f t="shared" si="23"/>
        <v>2.5</v>
      </c>
    </row>
    <row r="367" spans="1:21" x14ac:dyDescent="0.25">
      <c r="A367" s="1">
        <v>62610018</v>
      </c>
      <c r="B367" s="1">
        <v>227404</v>
      </c>
      <c r="C367" s="1" t="s">
        <v>799</v>
      </c>
      <c r="D367" s="1" t="s">
        <v>16</v>
      </c>
      <c r="E367" s="1" t="s">
        <v>800</v>
      </c>
      <c r="F367" s="1" t="s">
        <v>76</v>
      </c>
      <c r="G367" s="1" t="s">
        <v>23</v>
      </c>
      <c r="H367" s="1" t="s">
        <v>19</v>
      </c>
      <c r="I367" s="1" t="s">
        <v>142</v>
      </c>
      <c r="J367" s="1" t="s">
        <v>143</v>
      </c>
      <c r="K367" s="1" t="str">
        <f>VLOOKUP(J367,'IU Major Match'!$D$2:$E$65,2,FALSE)</f>
        <v xml:space="preserve">Major exists in IU </v>
      </c>
      <c r="L367" s="1">
        <v>96178917463</v>
      </c>
      <c r="M367" s="1" t="s">
        <v>84</v>
      </c>
      <c r="N367" s="11">
        <v>99</v>
      </c>
      <c r="O367" s="11">
        <v>3</v>
      </c>
      <c r="P367" s="11">
        <v>13</v>
      </c>
      <c r="Q367" s="11">
        <v>91</v>
      </c>
      <c r="R367" s="5">
        <f t="shared" si="20"/>
        <v>0.16161616161616163</v>
      </c>
      <c r="S367" s="13" t="str">
        <f t="shared" si="21"/>
        <v>=&lt;50</v>
      </c>
      <c r="T367" s="14">
        <f t="shared" si="22"/>
        <v>7</v>
      </c>
      <c r="U367" s="14">
        <f t="shared" si="23"/>
        <v>3.5</v>
      </c>
    </row>
    <row r="368" spans="1:21" x14ac:dyDescent="0.25">
      <c r="A368" s="1">
        <v>62230282</v>
      </c>
      <c r="B368" s="1">
        <v>189804</v>
      </c>
      <c r="C368" s="1" t="s">
        <v>214</v>
      </c>
      <c r="D368" s="1" t="s">
        <v>145</v>
      </c>
      <c r="E368" s="1" t="s">
        <v>383</v>
      </c>
      <c r="F368" s="1" t="s">
        <v>76</v>
      </c>
      <c r="G368" s="1" t="s">
        <v>23</v>
      </c>
      <c r="H368" s="1" t="s">
        <v>19</v>
      </c>
      <c r="I368" s="1" t="s">
        <v>103</v>
      </c>
      <c r="J368" s="1" t="s">
        <v>104</v>
      </c>
      <c r="K368" s="1" t="str">
        <f>VLOOKUP(J368,'IU Major Match'!$D$2:$E$65,2,FALSE)</f>
        <v xml:space="preserve">Major exists in IU </v>
      </c>
      <c r="L368" s="1">
        <v>70385895</v>
      </c>
      <c r="M368" s="1" t="s">
        <v>153</v>
      </c>
      <c r="N368" s="11">
        <v>100</v>
      </c>
      <c r="O368" s="11">
        <v>45</v>
      </c>
      <c r="P368" s="11">
        <v>12</v>
      </c>
      <c r="Q368" s="11">
        <v>43</v>
      </c>
      <c r="R368" s="5">
        <f t="shared" si="20"/>
        <v>0.56999999999999995</v>
      </c>
      <c r="S368" s="13" t="str">
        <f t="shared" si="21"/>
        <v>&gt;50</v>
      </c>
      <c r="T368" s="14">
        <f t="shared" si="22"/>
        <v>3</v>
      </c>
      <c r="U368" s="14">
        <f t="shared" si="23"/>
        <v>1.5</v>
      </c>
    </row>
    <row r="369" spans="1:21" x14ac:dyDescent="0.25">
      <c r="A369" s="1">
        <v>62510043</v>
      </c>
      <c r="B369" s="1">
        <v>218544</v>
      </c>
      <c r="C369" s="1" t="s">
        <v>214</v>
      </c>
      <c r="D369" s="1" t="s">
        <v>119</v>
      </c>
      <c r="E369" s="1" t="s">
        <v>801</v>
      </c>
      <c r="F369" s="1" t="s">
        <v>76</v>
      </c>
      <c r="G369" s="1" t="s">
        <v>93</v>
      </c>
      <c r="H369" s="1" t="s">
        <v>19</v>
      </c>
      <c r="I369" s="1" t="s">
        <v>349</v>
      </c>
      <c r="J369" s="1" t="s">
        <v>350</v>
      </c>
      <c r="K369" s="1" t="str">
        <f>VLOOKUP(J369,'IU Major Match'!$D$2:$E$65,2,FALSE)</f>
        <v xml:space="preserve">Major exists in IU </v>
      </c>
      <c r="L369" s="1">
        <v>96178893047</v>
      </c>
      <c r="M369" s="1" t="s">
        <v>242</v>
      </c>
      <c r="N369" s="11">
        <v>99</v>
      </c>
      <c r="O369" s="11">
        <v>30</v>
      </c>
      <c r="P369" s="11">
        <v>12</v>
      </c>
      <c r="Q369" s="11">
        <v>57</v>
      </c>
      <c r="R369" s="5">
        <f t="shared" si="20"/>
        <v>0.42424242424242425</v>
      </c>
      <c r="S369" s="13" t="str">
        <f t="shared" si="21"/>
        <v>=&lt;50</v>
      </c>
      <c r="T369" s="14">
        <f t="shared" si="22"/>
        <v>4</v>
      </c>
      <c r="U369" s="14">
        <f t="shared" si="23"/>
        <v>2</v>
      </c>
    </row>
    <row r="370" spans="1:21" x14ac:dyDescent="0.25">
      <c r="A370" s="1">
        <v>62430343</v>
      </c>
      <c r="B370" s="1">
        <v>217445</v>
      </c>
      <c r="C370" s="1" t="s">
        <v>802</v>
      </c>
      <c r="D370" s="1" t="s">
        <v>170</v>
      </c>
      <c r="E370" s="1" t="s">
        <v>28</v>
      </c>
      <c r="F370" s="1" t="s">
        <v>76</v>
      </c>
      <c r="G370" s="1" t="s">
        <v>18</v>
      </c>
      <c r="H370" s="1" t="s">
        <v>19</v>
      </c>
      <c r="I370" s="1" t="s">
        <v>82</v>
      </c>
      <c r="J370" s="1" t="s">
        <v>83</v>
      </c>
      <c r="K370" s="1" t="str">
        <f>VLOOKUP(J370,'IU Major Match'!$D$2:$E$65,2,FALSE)</f>
        <v>Can be Transferred to Bachelor of Engineering</v>
      </c>
      <c r="L370" s="1">
        <v>96181693890</v>
      </c>
      <c r="M370" s="1" t="s">
        <v>113</v>
      </c>
      <c r="N370" s="11">
        <v>108</v>
      </c>
      <c r="O370" s="11">
        <v>30</v>
      </c>
      <c r="P370" s="11">
        <v>14</v>
      </c>
      <c r="Q370" s="11">
        <v>64</v>
      </c>
      <c r="R370" s="5">
        <f t="shared" si="20"/>
        <v>0.40740740740740738</v>
      </c>
      <c r="S370" s="13" t="str">
        <f t="shared" si="21"/>
        <v>=&lt;50</v>
      </c>
      <c r="T370" s="14">
        <f t="shared" si="22"/>
        <v>5</v>
      </c>
      <c r="U370" s="14">
        <f t="shared" si="23"/>
        <v>2.5</v>
      </c>
    </row>
    <row r="371" spans="1:21" x14ac:dyDescent="0.25">
      <c r="A371" s="1">
        <v>62430097</v>
      </c>
      <c r="B371" s="1">
        <v>210063</v>
      </c>
      <c r="C371" s="1" t="s">
        <v>803</v>
      </c>
      <c r="D371" s="1" t="s">
        <v>494</v>
      </c>
      <c r="E371" s="1" t="s">
        <v>804</v>
      </c>
      <c r="F371" s="1" t="s">
        <v>76</v>
      </c>
      <c r="G371" s="1" t="s">
        <v>93</v>
      </c>
      <c r="H371" s="1" t="s">
        <v>19</v>
      </c>
      <c r="I371" s="1" t="s">
        <v>107</v>
      </c>
      <c r="J371" s="1" t="s">
        <v>108</v>
      </c>
      <c r="K371" s="1" t="str">
        <f>VLOOKUP(J371,'IU Major Match'!$D$2:$E$65,2,FALSE)</f>
        <v xml:space="preserve">Major exists in IU </v>
      </c>
      <c r="L371" s="1">
        <v>76103950</v>
      </c>
      <c r="M371" s="1" t="s">
        <v>113</v>
      </c>
      <c r="N371" s="11">
        <v>99</v>
      </c>
      <c r="O371" s="11">
        <v>27</v>
      </c>
      <c r="P371" s="11">
        <v>16</v>
      </c>
      <c r="Q371" s="11">
        <v>60</v>
      </c>
      <c r="R371" s="5">
        <f t="shared" si="20"/>
        <v>0.43434343434343436</v>
      </c>
      <c r="S371" s="13" t="str">
        <f t="shared" si="21"/>
        <v>=&lt;50</v>
      </c>
      <c r="T371" s="14">
        <f t="shared" si="22"/>
        <v>4</v>
      </c>
      <c r="U371" s="14">
        <f t="shared" si="23"/>
        <v>2</v>
      </c>
    </row>
    <row r="372" spans="1:21" x14ac:dyDescent="0.25">
      <c r="A372" s="1">
        <v>62530250</v>
      </c>
      <c r="B372" s="1">
        <v>224959</v>
      </c>
      <c r="C372" s="1" t="s">
        <v>803</v>
      </c>
      <c r="D372" s="1" t="s">
        <v>805</v>
      </c>
      <c r="E372" s="1" t="s">
        <v>806</v>
      </c>
      <c r="F372" s="1" t="s">
        <v>76</v>
      </c>
      <c r="G372" s="1" t="s">
        <v>23</v>
      </c>
      <c r="H372" s="1" t="s">
        <v>19</v>
      </c>
      <c r="I372" s="1" t="s">
        <v>142</v>
      </c>
      <c r="J372" s="1" t="s">
        <v>143</v>
      </c>
      <c r="K372" s="1" t="str">
        <f>VLOOKUP(J372,'IU Major Match'!$D$2:$E$65,2,FALSE)</f>
        <v xml:space="preserve">Major exists in IU </v>
      </c>
      <c r="L372" s="1">
        <v>96170004471</v>
      </c>
      <c r="M372" s="1" t="s">
        <v>99</v>
      </c>
      <c r="N372" s="11">
        <v>99</v>
      </c>
      <c r="O372" s="11">
        <v>6</v>
      </c>
      <c r="P372" s="11">
        <v>10</v>
      </c>
      <c r="Q372" s="11">
        <v>91</v>
      </c>
      <c r="R372" s="5">
        <f t="shared" si="20"/>
        <v>0.16161616161616163</v>
      </c>
      <c r="S372" s="13" t="str">
        <f t="shared" si="21"/>
        <v>=&lt;50</v>
      </c>
      <c r="T372" s="14">
        <f t="shared" si="22"/>
        <v>7</v>
      </c>
      <c r="U372" s="14">
        <f t="shared" si="23"/>
        <v>3.5</v>
      </c>
    </row>
    <row r="373" spans="1:21" x14ac:dyDescent="0.25">
      <c r="A373" s="1">
        <v>62530115</v>
      </c>
      <c r="B373" s="1">
        <v>222108</v>
      </c>
      <c r="C373" s="1" t="s">
        <v>803</v>
      </c>
      <c r="D373" s="1" t="s">
        <v>145</v>
      </c>
      <c r="E373" s="1" t="s">
        <v>383</v>
      </c>
      <c r="F373" s="1" t="s">
        <v>76</v>
      </c>
      <c r="G373" s="1" t="s">
        <v>200</v>
      </c>
      <c r="H373" s="1" t="s">
        <v>19</v>
      </c>
      <c r="I373" s="1" t="s">
        <v>201</v>
      </c>
      <c r="J373" s="1" t="s">
        <v>202</v>
      </c>
      <c r="K373" s="1" t="str">
        <f>VLOOKUP(J373,'IU Major Match'!$D$2:$E$65,2,FALSE)</f>
        <v>Major Dont exists in IU</v>
      </c>
      <c r="L373" s="1">
        <v>96176824485</v>
      </c>
      <c r="M373" s="1" t="s">
        <v>99</v>
      </c>
      <c r="N373" s="11">
        <v>65</v>
      </c>
      <c r="O373" s="11">
        <v>5</v>
      </c>
      <c r="P373" s="11">
        <v>14</v>
      </c>
      <c r="Q373" s="11">
        <v>46</v>
      </c>
      <c r="R373" s="5">
        <f t="shared" si="20"/>
        <v>0.29230769230769232</v>
      </c>
      <c r="S373" s="13" t="str">
        <f t="shared" si="21"/>
        <v>=&lt;50</v>
      </c>
      <c r="T373" s="14">
        <f t="shared" si="22"/>
        <v>4</v>
      </c>
      <c r="U373" s="14">
        <f t="shared" si="23"/>
        <v>2</v>
      </c>
    </row>
    <row r="374" spans="1:21" x14ac:dyDescent="0.25">
      <c r="A374" s="1">
        <v>62530091</v>
      </c>
      <c r="B374" s="1">
        <v>223932</v>
      </c>
      <c r="C374" s="1" t="s">
        <v>50</v>
      </c>
      <c r="D374" s="1" t="s">
        <v>421</v>
      </c>
      <c r="E374" s="1" t="s">
        <v>807</v>
      </c>
      <c r="F374" s="1" t="s">
        <v>76</v>
      </c>
      <c r="G374" s="1" t="s">
        <v>93</v>
      </c>
      <c r="H374" s="1" t="s">
        <v>19</v>
      </c>
      <c r="I374" s="1" t="s">
        <v>138</v>
      </c>
      <c r="J374" s="1" t="s">
        <v>139</v>
      </c>
      <c r="K374" s="1" t="str">
        <f>VLOOKUP(J374,'IU Major Match'!$D$2:$E$65,2,FALSE)</f>
        <v xml:space="preserve">Major exists in IU </v>
      </c>
      <c r="L374" s="1">
        <v>81401994</v>
      </c>
      <c r="M374" s="1" t="s">
        <v>99</v>
      </c>
      <c r="N374" s="11">
        <v>99</v>
      </c>
      <c r="O374" s="11">
        <v>9</v>
      </c>
      <c r="P374" s="11">
        <v>15</v>
      </c>
      <c r="Q374" s="11">
        <v>75</v>
      </c>
      <c r="R374" s="5">
        <f t="shared" si="20"/>
        <v>0.24242424242424243</v>
      </c>
      <c r="S374" s="13" t="str">
        <f t="shared" si="21"/>
        <v>=&lt;50</v>
      </c>
      <c r="T374" s="14">
        <f t="shared" si="22"/>
        <v>5</v>
      </c>
      <c r="U374" s="14">
        <f t="shared" si="23"/>
        <v>2.5</v>
      </c>
    </row>
    <row r="375" spans="1:21" x14ac:dyDescent="0.25">
      <c r="A375" s="1">
        <v>62510037</v>
      </c>
      <c r="B375" s="1">
        <v>218101</v>
      </c>
      <c r="C375" s="1" t="s">
        <v>50</v>
      </c>
      <c r="D375" s="1" t="s">
        <v>680</v>
      </c>
      <c r="E375" s="1" t="s">
        <v>37</v>
      </c>
      <c r="F375" s="1" t="s">
        <v>76</v>
      </c>
      <c r="G375" s="1" t="s">
        <v>18</v>
      </c>
      <c r="H375" s="1" t="s">
        <v>19</v>
      </c>
      <c r="I375" s="1" t="s">
        <v>82</v>
      </c>
      <c r="J375" s="1" t="s">
        <v>83</v>
      </c>
      <c r="K375" s="1" t="str">
        <f>VLOOKUP(J375,'IU Major Match'!$D$2:$E$65,2,FALSE)</f>
        <v>Can be Transferred to Bachelor of Engineering</v>
      </c>
      <c r="L375" s="1">
        <v>96181788405</v>
      </c>
      <c r="M375" s="1" t="s">
        <v>242</v>
      </c>
      <c r="N375" s="11">
        <v>108</v>
      </c>
      <c r="O375" s="11">
        <v>44</v>
      </c>
      <c r="P375" s="11">
        <v>17</v>
      </c>
      <c r="Q375" s="11">
        <v>47</v>
      </c>
      <c r="R375" s="5">
        <f t="shared" si="20"/>
        <v>0.56481481481481477</v>
      </c>
      <c r="S375" s="13" t="str">
        <f t="shared" si="21"/>
        <v>&gt;50</v>
      </c>
      <c r="T375" s="14">
        <f t="shared" si="22"/>
        <v>4</v>
      </c>
      <c r="U375" s="14">
        <f t="shared" si="23"/>
        <v>2</v>
      </c>
    </row>
    <row r="376" spans="1:21" x14ac:dyDescent="0.25">
      <c r="A376" s="1">
        <v>62410052</v>
      </c>
      <c r="B376" s="1">
        <v>208468</v>
      </c>
      <c r="C376" s="1" t="s">
        <v>50</v>
      </c>
      <c r="D376" s="1" t="s">
        <v>145</v>
      </c>
      <c r="E376" s="1" t="s">
        <v>808</v>
      </c>
      <c r="F376" s="1" t="s">
        <v>76</v>
      </c>
      <c r="G376" s="1" t="s">
        <v>93</v>
      </c>
      <c r="H376" s="1" t="s">
        <v>19</v>
      </c>
      <c r="I376" s="1" t="s">
        <v>133</v>
      </c>
      <c r="J376" s="1" t="s">
        <v>134</v>
      </c>
      <c r="K376" s="1" t="str">
        <f>VLOOKUP(J376,'IU Major Match'!$D$2:$E$65,2,FALSE)</f>
        <v xml:space="preserve">Major exists in IU </v>
      </c>
      <c r="L376" s="1">
        <v>76436034</v>
      </c>
      <c r="M376" s="1" t="s">
        <v>362</v>
      </c>
      <c r="N376" s="11">
        <v>99</v>
      </c>
      <c r="O376" s="11">
        <v>48</v>
      </c>
      <c r="P376" s="11">
        <v>12</v>
      </c>
      <c r="Q376" s="11">
        <v>39</v>
      </c>
      <c r="R376" s="5">
        <f t="shared" si="20"/>
        <v>0.60606060606060608</v>
      </c>
      <c r="S376" s="13" t="str">
        <f t="shared" si="21"/>
        <v>&gt;50</v>
      </c>
      <c r="T376" s="14">
        <f t="shared" si="22"/>
        <v>3</v>
      </c>
      <c r="U376" s="14">
        <f t="shared" si="23"/>
        <v>1.5</v>
      </c>
    </row>
    <row r="377" spans="1:21" x14ac:dyDescent="0.25">
      <c r="A377" s="1">
        <v>62430256</v>
      </c>
      <c r="B377" s="1">
        <v>215075</v>
      </c>
      <c r="C377" s="1" t="s">
        <v>809</v>
      </c>
      <c r="D377" s="1" t="s">
        <v>451</v>
      </c>
      <c r="E377" s="1" t="s">
        <v>810</v>
      </c>
      <c r="F377" s="1" t="s">
        <v>76</v>
      </c>
      <c r="G377" s="1" t="s">
        <v>23</v>
      </c>
      <c r="H377" s="1" t="s">
        <v>19</v>
      </c>
      <c r="I377" s="1" t="s">
        <v>811</v>
      </c>
      <c r="J377" s="1" t="s">
        <v>812</v>
      </c>
      <c r="K377" s="1" t="str">
        <f>VLOOKUP(J377,'IU Major Match'!$D$2:$E$65,2,FALSE)</f>
        <v>Major Dont exists in IU</v>
      </c>
      <c r="L377" s="1">
        <v>70315336</v>
      </c>
      <c r="M377" s="1" t="s">
        <v>113</v>
      </c>
      <c r="N377" s="11">
        <v>99</v>
      </c>
      <c r="O377" s="11">
        <v>20</v>
      </c>
      <c r="P377" s="11">
        <v>12</v>
      </c>
      <c r="Q377" s="11">
        <v>67</v>
      </c>
      <c r="R377" s="5">
        <f t="shared" si="20"/>
        <v>0.32323232323232326</v>
      </c>
      <c r="S377" s="13" t="str">
        <f t="shared" si="21"/>
        <v>=&lt;50</v>
      </c>
      <c r="T377" s="14">
        <f t="shared" si="22"/>
        <v>5</v>
      </c>
      <c r="U377" s="14">
        <f t="shared" si="23"/>
        <v>2.5</v>
      </c>
    </row>
    <row r="378" spans="1:21" x14ac:dyDescent="0.25">
      <c r="A378" s="1">
        <v>62230256</v>
      </c>
      <c r="B378" s="1">
        <v>189067</v>
      </c>
      <c r="C378" s="1" t="s">
        <v>809</v>
      </c>
      <c r="D378" s="1" t="s">
        <v>813</v>
      </c>
      <c r="E378" s="1" t="s">
        <v>814</v>
      </c>
      <c r="F378" s="1" t="s">
        <v>76</v>
      </c>
      <c r="G378" s="1" t="s">
        <v>93</v>
      </c>
      <c r="H378" s="1" t="s">
        <v>19</v>
      </c>
      <c r="I378" s="1" t="s">
        <v>111</v>
      </c>
      <c r="J378" s="1" t="s">
        <v>112</v>
      </c>
      <c r="K378" s="1" t="str">
        <f>VLOOKUP(J378,'IU Major Match'!$D$2:$E$65,2,FALSE)</f>
        <v xml:space="preserve">Major exists in IU </v>
      </c>
      <c r="L378" s="1">
        <v>96178996015</v>
      </c>
      <c r="M378" s="1" t="s">
        <v>153</v>
      </c>
      <c r="N378" s="11">
        <v>99</v>
      </c>
      <c r="O378" s="11">
        <v>90</v>
      </c>
      <c r="P378" s="11">
        <v>9</v>
      </c>
      <c r="Q378" s="11">
        <v>0</v>
      </c>
      <c r="R378" s="5">
        <f t="shared" si="20"/>
        <v>1</v>
      </c>
      <c r="S378" s="13" t="str">
        <f t="shared" si="21"/>
        <v>&gt;50</v>
      </c>
      <c r="T378" s="14">
        <f t="shared" si="22"/>
        <v>0</v>
      </c>
      <c r="U378" s="14">
        <f t="shared" si="23"/>
        <v>0</v>
      </c>
    </row>
    <row r="379" spans="1:21" x14ac:dyDescent="0.25">
      <c r="A379" s="1">
        <v>62130187</v>
      </c>
      <c r="B379" s="1">
        <v>175544</v>
      </c>
      <c r="C379" s="1" t="s">
        <v>815</v>
      </c>
      <c r="D379" s="1" t="s">
        <v>816</v>
      </c>
      <c r="E379" s="1" t="s">
        <v>207</v>
      </c>
      <c r="F379" s="1" t="s">
        <v>76</v>
      </c>
      <c r="G379" s="1" t="s">
        <v>23</v>
      </c>
      <c r="H379" s="1" t="s">
        <v>19</v>
      </c>
      <c r="I379" s="1" t="s">
        <v>761</v>
      </c>
      <c r="J379" s="1" t="s">
        <v>762</v>
      </c>
      <c r="K379" s="1" t="str">
        <f>VLOOKUP(J379,'IU Major Match'!$D$2:$E$65,2,FALSE)</f>
        <v>Major Dont exists in IU</v>
      </c>
      <c r="L379" s="1">
        <v>76141143</v>
      </c>
      <c r="M379" s="1" t="s">
        <v>79</v>
      </c>
      <c r="N379" s="11">
        <v>99</v>
      </c>
      <c r="O379" s="11">
        <v>25</v>
      </c>
      <c r="P379" s="11">
        <v>9</v>
      </c>
      <c r="Q379" s="11">
        <v>65</v>
      </c>
      <c r="R379" s="5">
        <f t="shared" si="20"/>
        <v>0.34343434343434343</v>
      </c>
      <c r="S379" s="13" t="str">
        <f t="shared" si="21"/>
        <v>=&lt;50</v>
      </c>
      <c r="T379" s="14">
        <f t="shared" si="22"/>
        <v>5</v>
      </c>
      <c r="U379" s="14">
        <f t="shared" si="23"/>
        <v>2.5</v>
      </c>
    </row>
    <row r="380" spans="1:21" x14ac:dyDescent="0.25">
      <c r="A380" s="1">
        <v>62430211</v>
      </c>
      <c r="B380" s="1">
        <v>213371</v>
      </c>
      <c r="C380" s="1" t="s">
        <v>817</v>
      </c>
      <c r="D380" s="1" t="s">
        <v>818</v>
      </c>
      <c r="E380" s="1" t="s">
        <v>819</v>
      </c>
      <c r="F380" s="1" t="s">
        <v>76</v>
      </c>
      <c r="G380" s="1" t="s">
        <v>93</v>
      </c>
      <c r="H380" s="1" t="s">
        <v>19</v>
      </c>
      <c r="I380" s="1" t="s">
        <v>94</v>
      </c>
      <c r="J380" s="1" t="s">
        <v>95</v>
      </c>
      <c r="K380" s="1" t="str">
        <f>VLOOKUP(J380,'IU Major Match'!$D$2:$E$65,2,FALSE)</f>
        <v xml:space="preserve">Major exists in IU </v>
      </c>
      <c r="L380" s="1">
        <v>81201588</v>
      </c>
      <c r="M380" s="1" t="s">
        <v>113</v>
      </c>
      <c r="N380" s="11">
        <v>99</v>
      </c>
      <c r="O380" s="11">
        <v>48</v>
      </c>
      <c r="P380" s="11">
        <v>18</v>
      </c>
      <c r="Q380" s="11">
        <v>33</v>
      </c>
      <c r="R380" s="5">
        <f t="shared" si="20"/>
        <v>0.66666666666666663</v>
      </c>
      <c r="S380" s="13" t="str">
        <f t="shared" si="21"/>
        <v>&gt;50</v>
      </c>
      <c r="T380" s="14">
        <f t="shared" si="22"/>
        <v>3</v>
      </c>
      <c r="U380" s="14">
        <f t="shared" si="23"/>
        <v>1.5</v>
      </c>
    </row>
    <row r="381" spans="1:21" x14ac:dyDescent="0.25">
      <c r="A381" s="1">
        <v>62510013</v>
      </c>
      <c r="B381" s="1">
        <v>217790</v>
      </c>
      <c r="C381" s="1" t="s">
        <v>820</v>
      </c>
      <c r="D381" s="1" t="s">
        <v>821</v>
      </c>
      <c r="E381" s="1" t="s">
        <v>822</v>
      </c>
      <c r="F381" s="1" t="s">
        <v>76</v>
      </c>
      <c r="G381" s="1" t="s">
        <v>93</v>
      </c>
      <c r="H381" s="1" t="s">
        <v>19</v>
      </c>
      <c r="I381" s="1" t="s">
        <v>124</v>
      </c>
      <c r="J381" s="1" t="s">
        <v>125</v>
      </c>
      <c r="K381" s="1" t="str">
        <f>VLOOKUP(J381,'IU Major Match'!$D$2:$E$65,2,FALSE)</f>
        <v xml:space="preserve">Major exists in IU </v>
      </c>
      <c r="L381" s="1">
        <v>71747037</v>
      </c>
      <c r="M381" s="1" t="s">
        <v>242</v>
      </c>
      <c r="N381" s="11">
        <v>99</v>
      </c>
      <c r="O381" s="11">
        <v>18</v>
      </c>
      <c r="P381" s="11">
        <v>15</v>
      </c>
      <c r="Q381" s="11">
        <v>66</v>
      </c>
      <c r="R381" s="5">
        <f t="shared" si="20"/>
        <v>0.33333333333333331</v>
      </c>
      <c r="S381" s="13" t="str">
        <f t="shared" si="21"/>
        <v>=&lt;50</v>
      </c>
      <c r="T381" s="14">
        <f t="shared" si="22"/>
        <v>5</v>
      </c>
      <c r="U381" s="14">
        <f t="shared" si="23"/>
        <v>2.5</v>
      </c>
    </row>
    <row r="382" spans="1:21" x14ac:dyDescent="0.25">
      <c r="A382" s="1">
        <v>62530088</v>
      </c>
      <c r="B382" s="1">
        <v>220461</v>
      </c>
      <c r="C382" s="1" t="s">
        <v>823</v>
      </c>
      <c r="D382" s="1" t="s">
        <v>824</v>
      </c>
      <c r="E382" s="1" t="s">
        <v>825</v>
      </c>
      <c r="F382" s="1" t="s">
        <v>76</v>
      </c>
      <c r="G382" s="1" t="s">
        <v>93</v>
      </c>
      <c r="H382" s="1" t="s">
        <v>19</v>
      </c>
      <c r="I382" s="1" t="s">
        <v>124</v>
      </c>
      <c r="J382" s="1" t="s">
        <v>125</v>
      </c>
      <c r="K382" s="1" t="str">
        <f>VLOOKUP(J382,'IU Major Match'!$D$2:$E$65,2,FALSE)</f>
        <v xml:space="preserve">Major exists in IU </v>
      </c>
      <c r="L382" s="1">
        <v>70141907</v>
      </c>
      <c r="M382" s="1" t="s">
        <v>99</v>
      </c>
      <c r="N382" s="11">
        <v>99</v>
      </c>
      <c r="O382" s="11">
        <v>3</v>
      </c>
      <c r="P382" s="11">
        <v>15</v>
      </c>
      <c r="Q382" s="11">
        <v>81</v>
      </c>
      <c r="R382" s="5">
        <f t="shared" si="20"/>
        <v>0.18181818181818182</v>
      </c>
      <c r="S382" s="13" t="str">
        <f t="shared" si="21"/>
        <v>=&lt;50</v>
      </c>
      <c r="T382" s="14">
        <f t="shared" si="22"/>
        <v>6</v>
      </c>
      <c r="U382" s="14">
        <f t="shared" si="23"/>
        <v>3</v>
      </c>
    </row>
    <row r="383" spans="1:21" x14ac:dyDescent="0.25">
      <c r="A383" s="1">
        <v>62430187</v>
      </c>
      <c r="B383" s="1">
        <v>216429</v>
      </c>
      <c r="C383" s="1" t="s">
        <v>826</v>
      </c>
      <c r="D383" s="1" t="s">
        <v>374</v>
      </c>
      <c r="E383" s="1" t="s">
        <v>80</v>
      </c>
      <c r="F383" s="1" t="s">
        <v>76</v>
      </c>
      <c r="G383" s="1" t="s">
        <v>93</v>
      </c>
      <c r="H383" s="1" t="s">
        <v>19</v>
      </c>
      <c r="I383" s="1" t="s">
        <v>133</v>
      </c>
      <c r="J383" s="1" t="s">
        <v>134</v>
      </c>
      <c r="K383" s="1" t="str">
        <f>VLOOKUP(J383,'IU Major Match'!$D$2:$E$65,2,FALSE)</f>
        <v xml:space="preserve">Major exists in IU </v>
      </c>
      <c r="L383" s="1">
        <v>3105050</v>
      </c>
      <c r="M383" s="1" t="s">
        <v>113</v>
      </c>
      <c r="N383" s="11">
        <v>99</v>
      </c>
      <c r="O383" s="11">
        <v>78</v>
      </c>
      <c r="P383" s="11">
        <v>15</v>
      </c>
      <c r="Q383" s="11">
        <v>6</v>
      </c>
      <c r="R383" s="5">
        <f t="shared" si="20"/>
        <v>0.93939393939393945</v>
      </c>
      <c r="S383" s="13" t="str">
        <f t="shared" si="21"/>
        <v>&gt;50</v>
      </c>
      <c r="T383" s="14">
        <f t="shared" si="22"/>
        <v>1</v>
      </c>
      <c r="U383" s="14">
        <f t="shared" si="23"/>
        <v>0.5</v>
      </c>
    </row>
    <row r="384" spans="1:21" x14ac:dyDescent="0.25">
      <c r="A384" s="1">
        <v>62530041</v>
      </c>
      <c r="B384" s="1">
        <v>219371</v>
      </c>
      <c r="C384" s="1" t="s">
        <v>826</v>
      </c>
      <c r="D384" s="1" t="s">
        <v>827</v>
      </c>
      <c r="E384" s="1" t="s">
        <v>828</v>
      </c>
      <c r="F384" s="1" t="s">
        <v>76</v>
      </c>
      <c r="G384" s="1" t="s">
        <v>93</v>
      </c>
      <c r="H384" s="1" t="s">
        <v>19</v>
      </c>
      <c r="I384" s="1" t="s">
        <v>138</v>
      </c>
      <c r="J384" s="1" t="s">
        <v>139</v>
      </c>
      <c r="K384" s="1" t="str">
        <f>VLOOKUP(J384,'IU Major Match'!$D$2:$E$65,2,FALSE)</f>
        <v xml:space="preserve">Major exists in IU </v>
      </c>
      <c r="L384" s="1">
        <v>9613156023</v>
      </c>
      <c r="M384" s="1" t="s">
        <v>99</v>
      </c>
      <c r="N384" s="11">
        <v>99</v>
      </c>
      <c r="O384" s="11">
        <v>0</v>
      </c>
      <c r="P384" s="11">
        <v>13</v>
      </c>
      <c r="Q384" s="11">
        <v>93</v>
      </c>
      <c r="R384" s="5">
        <f t="shared" si="20"/>
        <v>0.13131313131313133</v>
      </c>
      <c r="S384" s="13" t="str">
        <f t="shared" si="21"/>
        <v>=&lt;50</v>
      </c>
      <c r="T384" s="14">
        <f t="shared" si="22"/>
        <v>7</v>
      </c>
      <c r="U384" s="14">
        <f t="shared" si="23"/>
        <v>3.5</v>
      </c>
    </row>
    <row r="385" spans="1:21" x14ac:dyDescent="0.25">
      <c r="A385" s="1">
        <v>62530029</v>
      </c>
      <c r="B385" s="1">
        <v>222178</v>
      </c>
      <c r="C385" s="1" t="s">
        <v>826</v>
      </c>
      <c r="D385" s="1" t="s">
        <v>829</v>
      </c>
      <c r="E385" s="1" t="s">
        <v>830</v>
      </c>
      <c r="F385" s="1" t="s">
        <v>76</v>
      </c>
      <c r="G385" s="1" t="s">
        <v>93</v>
      </c>
      <c r="H385" s="1" t="s">
        <v>19</v>
      </c>
      <c r="I385" s="1" t="s">
        <v>216</v>
      </c>
      <c r="J385" s="1" t="s">
        <v>217</v>
      </c>
      <c r="K385" s="1" t="str">
        <f>VLOOKUP(J385,'IU Major Match'!$D$2:$E$65,2,FALSE)</f>
        <v xml:space="preserve">Major exists in IU </v>
      </c>
      <c r="L385" s="1">
        <v>96176650490</v>
      </c>
      <c r="M385" s="1" t="s">
        <v>99</v>
      </c>
      <c r="N385" s="11">
        <v>99</v>
      </c>
      <c r="O385" s="11">
        <v>9</v>
      </c>
      <c r="P385" s="11">
        <v>13</v>
      </c>
      <c r="Q385" s="11">
        <v>81</v>
      </c>
      <c r="R385" s="5">
        <f t="shared" si="20"/>
        <v>0.22222222222222221</v>
      </c>
      <c r="S385" s="13" t="str">
        <f t="shared" si="21"/>
        <v>=&lt;50</v>
      </c>
      <c r="T385" s="14">
        <f t="shared" si="22"/>
        <v>6</v>
      </c>
      <c r="U385" s="14">
        <f t="shared" si="23"/>
        <v>3</v>
      </c>
    </row>
    <row r="386" spans="1:21" x14ac:dyDescent="0.25">
      <c r="A386" s="1">
        <v>62230143</v>
      </c>
      <c r="B386" s="1">
        <v>206339</v>
      </c>
      <c r="C386" s="1" t="s">
        <v>831</v>
      </c>
      <c r="D386" s="1" t="s">
        <v>451</v>
      </c>
      <c r="E386" s="1" t="s">
        <v>832</v>
      </c>
      <c r="F386" s="1" t="s">
        <v>76</v>
      </c>
      <c r="G386" s="1" t="s">
        <v>23</v>
      </c>
      <c r="H386" s="1" t="s">
        <v>19</v>
      </c>
      <c r="I386" s="1" t="s">
        <v>237</v>
      </c>
      <c r="J386" s="1" t="s">
        <v>238</v>
      </c>
      <c r="K386" s="1" t="str">
        <f>VLOOKUP(J386,'IU Major Match'!$D$2:$E$65,2,FALSE)</f>
        <v xml:space="preserve">Major exists in IU </v>
      </c>
      <c r="L386" s="1">
        <v>76378218</v>
      </c>
      <c r="M386" s="1" t="s">
        <v>90</v>
      </c>
      <c r="N386" s="11">
        <v>108</v>
      </c>
      <c r="O386" s="11">
        <v>66</v>
      </c>
      <c r="P386" s="11">
        <v>15</v>
      </c>
      <c r="Q386" s="11">
        <v>27</v>
      </c>
      <c r="R386" s="5">
        <f t="shared" si="20"/>
        <v>0.75</v>
      </c>
      <c r="S386" s="13" t="str">
        <f t="shared" si="21"/>
        <v>&gt;50</v>
      </c>
      <c r="T386" s="14">
        <f t="shared" si="22"/>
        <v>2</v>
      </c>
      <c r="U386" s="14">
        <f t="shared" si="23"/>
        <v>1</v>
      </c>
    </row>
    <row r="387" spans="1:21" x14ac:dyDescent="0.25">
      <c r="A387" s="1">
        <v>62430164</v>
      </c>
      <c r="B387" s="1">
        <v>213395</v>
      </c>
      <c r="C387" s="1" t="s">
        <v>538</v>
      </c>
      <c r="D387" s="1" t="s">
        <v>16</v>
      </c>
      <c r="E387" s="1" t="s">
        <v>833</v>
      </c>
      <c r="F387" s="1" t="s">
        <v>76</v>
      </c>
      <c r="G387" s="1" t="s">
        <v>23</v>
      </c>
      <c r="H387" s="1" t="s">
        <v>19</v>
      </c>
      <c r="I387" s="1" t="s">
        <v>103</v>
      </c>
      <c r="J387" s="1" t="s">
        <v>104</v>
      </c>
      <c r="K387" s="1" t="str">
        <f>VLOOKUP(J387,'IU Major Match'!$D$2:$E$65,2,FALSE)</f>
        <v xml:space="preserve">Major exists in IU </v>
      </c>
      <c r="L387" s="1">
        <v>76340669</v>
      </c>
      <c r="M387" s="1" t="s">
        <v>113</v>
      </c>
      <c r="N387" s="11">
        <v>100</v>
      </c>
      <c r="O387" s="11">
        <v>25</v>
      </c>
      <c r="P387" s="11">
        <v>10</v>
      </c>
      <c r="Q387" s="11">
        <v>65</v>
      </c>
      <c r="R387" s="5">
        <f t="shared" ref="R387:R450" si="24">(O387+P387)/N387</f>
        <v>0.35</v>
      </c>
      <c r="S387" s="13" t="str">
        <f t="shared" ref="S387:S450" si="25">IF(R387&lt;=50%,"=&lt;50","&gt;50")</f>
        <v>=&lt;50</v>
      </c>
      <c r="T387" s="14">
        <f t="shared" ref="T387:T450" si="26">ROUNDUP(Q387/15,0)</f>
        <v>5</v>
      </c>
      <c r="U387" s="14">
        <f t="shared" ref="U387:U450" si="27">T387/2</f>
        <v>2.5</v>
      </c>
    </row>
    <row r="388" spans="1:21" x14ac:dyDescent="0.25">
      <c r="A388" s="1">
        <v>62310019</v>
      </c>
      <c r="B388" s="1">
        <v>197167</v>
      </c>
      <c r="C388" s="1" t="s">
        <v>538</v>
      </c>
      <c r="D388" s="1" t="s">
        <v>501</v>
      </c>
      <c r="E388" s="1" t="s">
        <v>834</v>
      </c>
      <c r="F388" s="1" t="s">
        <v>76</v>
      </c>
      <c r="G388" s="1" t="s">
        <v>93</v>
      </c>
      <c r="H388" s="1" t="s">
        <v>19</v>
      </c>
      <c r="I388" s="1" t="s">
        <v>133</v>
      </c>
      <c r="J388" s="1" t="s">
        <v>134</v>
      </c>
      <c r="K388" s="1" t="str">
        <f>VLOOKUP(J388,'IU Major Match'!$D$2:$E$65,2,FALSE)</f>
        <v xml:space="preserve">Major exists in IU </v>
      </c>
      <c r="L388" s="1">
        <v>81110178</v>
      </c>
      <c r="M388" s="1" t="s">
        <v>178</v>
      </c>
      <c r="N388" s="11">
        <v>99</v>
      </c>
      <c r="O388" s="11">
        <v>60</v>
      </c>
      <c r="P388" s="11">
        <v>15</v>
      </c>
      <c r="Q388" s="11">
        <v>24</v>
      </c>
      <c r="R388" s="5">
        <f t="shared" si="24"/>
        <v>0.75757575757575757</v>
      </c>
      <c r="S388" s="13" t="str">
        <f t="shared" si="25"/>
        <v>&gt;50</v>
      </c>
      <c r="T388" s="14">
        <f t="shared" si="26"/>
        <v>2</v>
      </c>
      <c r="U388" s="14">
        <f t="shared" si="27"/>
        <v>1</v>
      </c>
    </row>
    <row r="389" spans="1:21" x14ac:dyDescent="0.25">
      <c r="A389" s="1">
        <v>62330074</v>
      </c>
      <c r="B389" s="1">
        <v>198971</v>
      </c>
      <c r="C389" s="1" t="s">
        <v>835</v>
      </c>
      <c r="D389" s="1" t="s">
        <v>836</v>
      </c>
      <c r="E389" s="1" t="s">
        <v>837</v>
      </c>
      <c r="F389" s="1" t="s">
        <v>76</v>
      </c>
      <c r="G389" s="1" t="s">
        <v>68</v>
      </c>
      <c r="H389" s="1" t="s">
        <v>19</v>
      </c>
      <c r="I389" s="1" t="s">
        <v>474</v>
      </c>
      <c r="J389" s="1" t="s">
        <v>475</v>
      </c>
      <c r="K389" s="1" t="str">
        <f>VLOOKUP(J389,'IU Major Match'!$D$2:$E$65,2,FALSE)</f>
        <v xml:space="preserve">Major exists in IU </v>
      </c>
      <c r="L389" s="1">
        <v>96171492117</v>
      </c>
      <c r="M389" s="1" t="s">
        <v>90</v>
      </c>
      <c r="N389" s="11">
        <v>99</v>
      </c>
      <c r="O389" s="11">
        <v>39</v>
      </c>
      <c r="P389" s="11">
        <v>12</v>
      </c>
      <c r="Q389" s="11">
        <v>48</v>
      </c>
      <c r="R389" s="5">
        <f t="shared" si="24"/>
        <v>0.51515151515151514</v>
      </c>
      <c r="S389" s="13" t="str">
        <f t="shared" si="25"/>
        <v>&gt;50</v>
      </c>
      <c r="T389" s="14">
        <f t="shared" si="26"/>
        <v>4</v>
      </c>
      <c r="U389" s="14">
        <f t="shared" si="27"/>
        <v>2</v>
      </c>
    </row>
    <row r="390" spans="1:21" x14ac:dyDescent="0.25">
      <c r="A390" s="1">
        <v>62330280</v>
      </c>
      <c r="B390" s="1">
        <v>204190</v>
      </c>
      <c r="C390" s="1" t="s">
        <v>149</v>
      </c>
      <c r="D390" s="1" t="s">
        <v>231</v>
      </c>
      <c r="E390" s="1" t="s">
        <v>838</v>
      </c>
      <c r="F390" s="1" t="s">
        <v>76</v>
      </c>
      <c r="G390" s="1" t="s">
        <v>93</v>
      </c>
      <c r="H390" s="1" t="s">
        <v>19</v>
      </c>
      <c r="I390" s="1" t="s">
        <v>107</v>
      </c>
      <c r="J390" s="1" t="s">
        <v>108</v>
      </c>
      <c r="K390" s="1" t="str">
        <f>VLOOKUP(J390,'IU Major Match'!$D$2:$E$65,2,FALSE)</f>
        <v xml:space="preserve">Major exists in IU </v>
      </c>
      <c r="L390" s="1">
        <v>70595014</v>
      </c>
      <c r="M390" s="1" t="s">
        <v>90</v>
      </c>
      <c r="N390" s="11">
        <v>99</v>
      </c>
      <c r="O390" s="11">
        <v>87</v>
      </c>
      <c r="P390" s="11">
        <v>12</v>
      </c>
      <c r="Q390" s="11">
        <v>0</v>
      </c>
      <c r="R390" s="5">
        <f t="shared" si="24"/>
        <v>1</v>
      </c>
      <c r="S390" s="13" t="str">
        <f t="shared" si="25"/>
        <v>&gt;50</v>
      </c>
      <c r="T390" s="14">
        <f t="shared" si="26"/>
        <v>0</v>
      </c>
      <c r="U390" s="14">
        <f t="shared" si="27"/>
        <v>0</v>
      </c>
    </row>
    <row r="391" spans="1:21" x14ac:dyDescent="0.25">
      <c r="A391" s="1">
        <v>62530242</v>
      </c>
      <c r="B391" s="1">
        <v>224937</v>
      </c>
      <c r="C391" s="1" t="s">
        <v>839</v>
      </c>
      <c r="D391" s="1" t="s">
        <v>296</v>
      </c>
      <c r="E391" s="1" t="s">
        <v>840</v>
      </c>
      <c r="F391" s="1" t="s">
        <v>76</v>
      </c>
      <c r="G391" s="1" t="s">
        <v>18</v>
      </c>
      <c r="H391" s="1" t="s">
        <v>19</v>
      </c>
      <c r="I391" s="1" t="s">
        <v>82</v>
      </c>
      <c r="J391" s="1" t="s">
        <v>83</v>
      </c>
      <c r="K391" s="1" t="str">
        <f>VLOOKUP(J391,'IU Major Match'!$D$2:$E$65,2,FALSE)</f>
        <v>Can be Transferred to Bachelor of Engineering</v>
      </c>
      <c r="L391" s="1">
        <v>96178846079</v>
      </c>
      <c r="M391" s="1" t="s">
        <v>99</v>
      </c>
      <c r="N391" s="11">
        <v>108</v>
      </c>
      <c r="O391" s="11">
        <v>0</v>
      </c>
      <c r="P391" s="11">
        <v>18</v>
      </c>
      <c r="Q391" s="11">
        <v>90</v>
      </c>
      <c r="R391" s="5">
        <f t="shared" si="24"/>
        <v>0.16666666666666666</v>
      </c>
      <c r="S391" s="13" t="str">
        <f t="shared" si="25"/>
        <v>=&lt;50</v>
      </c>
      <c r="T391" s="14">
        <f t="shared" si="26"/>
        <v>6</v>
      </c>
      <c r="U391" s="14">
        <f t="shared" si="27"/>
        <v>3</v>
      </c>
    </row>
    <row r="392" spans="1:21" x14ac:dyDescent="0.25">
      <c r="A392" s="1">
        <v>62430137</v>
      </c>
      <c r="B392" s="1">
        <v>210589</v>
      </c>
      <c r="C392" s="1" t="s">
        <v>841</v>
      </c>
      <c r="D392" s="1" t="s">
        <v>707</v>
      </c>
      <c r="E392" s="1" t="s">
        <v>842</v>
      </c>
      <c r="F392" s="1" t="s">
        <v>76</v>
      </c>
      <c r="G392" s="1" t="s">
        <v>93</v>
      </c>
      <c r="H392" s="1" t="s">
        <v>19</v>
      </c>
      <c r="I392" s="1" t="s">
        <v>138</v>
      </c>
      <c r="J392" s="1" t="s">
        <v>139</v>
      </c>
      <c r="K392" s="1" t="str">
        <f>VLOOKUP(J392,'IU Major Match'!$D$2:$E$65,2,FALSE)</f>
        <v xml:space="preserve">Major exists in IU </v>
      </c>
      <c r="L392" s="1">
        <v>81509446</v>
      </c>
      <c r="M392" s="1" t="s">
        <v>113</v>
      </c>
      <c r="N392" s="11">
        <v>99</v>
      </c>
      <c r="O392" s="11">
        <v>3</v>
      </c>
      <c r="P392" s="11">
        <v>13</v>
      </c>
      <c r="Q392" s="11">
        <v>87</v>
      </c>
      <c r="R392" s="5">
        <f t="shared" si="24"/>
        <v>0.16161616161616163</v>
      </c>
      <c r="S392" s="13" t="str">
        <f t="shared" si="25"/>
        <v>=&lt;50</v>
      </c>
      <c r="T392" s="14">
        <f t="shared" si="26"/>
        <v>6</v>
      </c>
      <c r="U392" s="14">
        <f t="shared" si="27"/>
        <v>3</v>
      </c>
    </row>
    <row r="393" spans="1:21" x14ac:dyDescent="0.25">
      <c r="A393" s="1">
        <v>62610001</v>
      </c>
      <c r="B393" s="1">
        <v>227241</v>
      </c>
      <c r="C393" s="1" t="s">
        <v>841</v>
      </c>
      <c r="D393" s="1" t="s">
        <v>43</v>
      </c>
      <c r="E393" s="1" t="s">
        <v>843</v>
      </c>
      <c r="F393" s="1" t="s">
        <v>76</v>
      </c>
      <c r="G393" s="1" t="s">
        <v>68</v>
      </c>
      <c r="H393" s="1" t="s">
        <v>19</v>
      </c>
      <c r="I393" s="1" t="s">
        <v>844</v>
      </c>
      <c r="J393" s="1" t="s">
        <v>845</v>
      </c>
      <c r="K393" s="1" t="str">
        <f>VLOOKUP(J393,'IU Major Match'!$D$2:$E$65,2,FALSE)</f>
        <v xml:space="preserve">Major exists in IU </v>
      </c>
      <c r="L393" s="1">
        <v>96170224446</v>
      </c>
      <c r="M393" s="1" t="s">
        <v>84</v>
      </c>
      <c r="N393" s="11">
        <v>99</v>
      </c>
      <c r="O393" s="11">
        <v>0</v>
      </c>
      <c r="P393" s="11">
        <v>9</v>
      </c>
      <c r="Q393" s="11">
        <v>90</v>
      </c>
      <c r="R393" s="5">
        <f t="shared" si="24"/>
        <v>9.0909090909090912E-2</v>
      </c>
      <c r="S393" s="13" t="str">
        <f t="shared" si="25"/>
        <v>=&lt;50</v>
      </c>
      <c r="T393" s="14">
        <f t="shared" si="26"/>
        <v>6</v>
      </c>
      <c r="U393" s="14">
        <f t="shared" si="27"/>
        <v>3</v>
      </c>
    </row>
    <row r="394" spans="1:21" x14ac:dyDescent="0.25">
      <c r="A394" s="1">
        <v>62330332</v>
      </c>
      <c r="B394" s="1">
        <v>206229</v>
      </c>
      <c r="C394" s="1" t="s">
        <v>846</v>
      </c>
      <c r="D394" s="1" t="s">
        <v>847</v>
      </c>
      <c r="E394" s="1" t="s">
        <v>848</v>
      </c>
      <c r="F394" s="1" t="s">
        <v>76</v>
      </c>
      <c r="G394" s="1" t="s">
        <v>23</v>
      </c>
      <c r="H394" s="1" t="s">
        <v>19</v>
      </c>
      <c r="I394" s="1" t="s">
        <v>88</v>
      </c>
      <c r="J394" s="1" t="s">
        <v>89</v>
      </c>
      <c r="K394" s="1" t="str">
        <f>VLOOKUP(J394,'IU Major Match'!$D$2:$E$65,2,FALSE)</f>
        <v xml:space="preserve">Major exists in IU </v>
      </c>
      <c r="L394" s="1">
        <v>71935036</v>
      </c>
      <c r="M394" s="1" t="s">
        <v>90</v>
      </c>
      <c r="N394" s="11">
        <v>99</v>
      </c>
      <c r="O394" s="11">
        <v>27</v>
      </c>
      <c r="P394" s="11">
        <v>9</v>
      </c>
      <c r="Q394" s="11">
        <v>63</v>
      </c>
      <c r="R394" s="5">
        <f t="shared" si="24"/>
        <v>0.36363636363636365</v>
      </c>
      <c r="S394" s="13" t="str">
        <f t="shared" si="25"/>
        <v>=&lt;50</v>
      </c>
      <c r="T394" s="14">
        <f t="shared" si="26"/>
        <v>5</v>
      </c>
      <c r="U394" s="14">
        <f t="shared" si="27"/>
        <v>2.5</v>
      </c>
    </row>
    <row r="395" spans="1:21" x14ac:dyDescent="0.25">
      <c r="A395" s="1">
        <v>62410050</v>
      </c>
      <c r="B395" s="1">
        <v>208477</v>
      </c>
      <c r="C395" s="1" t="s">
        <v>849</v>
      </c>
      <c r="D395" s="1" t="s">
        <v>69</v>
      </c>
      <c r="E395" s="1" t="s">
        <v>850</v>
      </c>
      <c r="F395" s="1" t="s">
        <v>76</v>
      </c>
      <c r="G395" s="1" t="s">
        <v>93</v>
      </c>
      <c r="H395" s="1" t="s">
        <v>19</v>
      </c>
      <c r="I395" s="1" t="s">
        <v>133</v>
      </c>
      <c r="J395" s="1" t="s">
        <v>134</v>
      </c>
      <c r="K395" s="1" t="str">
        <f>VLOOKUP(J395,'IU Major Match'!$D$2:$E$65,2,FALSE)</f>
        <v xml:space="preserve">Major exists in IU </v>
      </c>
      <c r="L395" s="1">
        <v>76128588</v>
      </c>
      <c r="M395" s="1" t="s">
        <v>362</v>
      </c>
      <c r="N395" s="11">
        <v>99</v>
      </c>
      <c r="O395" s="11">
        <v>27</v>
      </c>
      <c r="P395" s="11">
        <v>12</v>
      </c>
      <c r="Q395" s="11">
        <v>60</v>
      </c>
      <c r="R395" s="5">
        <f t="shared" si="24"/>
        <v>0.39393939393939392</v>
      </c>
      <c r="S395" s="13" t="str">
        <f t="shared" si="25"/>
        <v>=&lt;50</v>
      </c>
      <c r="T395" s="14">
        <f t="shared" si="26"/>
        <v>4</v>
      </c>
      <c r="U395" s="14">
        <f t="shared" si="27"/>
        <v>2</v>
      </c>
    </row>
    <row r="396" spans="1:21" x14ac:dyDescent="0.25">
      <c r="A396" s="1">
        <v>62330069</v>
      </c>
      <c r="B396" s="1">
        <v>199058</v>
      </c>
      <c r="C396" s="1" t="s">
        <v>851</v>
      </c>
      <c r="D396" s="1" t="s">
        <v>852</v>
      </c>
      <c r="E396" s="1" t="s">
        <v>430</v>
      </c>
      <c r="F396" s="1" t="s">
        <v>76</v>
      </c>
      <c r="G396" s="1" t="s">
        <v>23</v>
      </c>
      <c r="H396" s="1" t="s">
        <v>19</v>
      </c>
      <c r="I396" s="1" t="s">
        <v>151</v>
      </c>
      <c r="J396" s="1" t="s">
        <v>152</v>
      </c>
      <c r="K396" s="1" t="str">
        <f>VLOOKUP(J396,'IU Major Match'!$D$2:$E$65,2,FALSE)</f>
        <v>Major Dont exists in IU</v>
      </c>
      <c r="L396" s="1">
        <v>96170022964</v>
      </c>
      <c r="M396" s="1" t="s">
        <v>90</v>
      </c>
      <c r="N396" s="11">
        <v>105</v>
      </c>
      <c r="O396" s="11">
        <v>49</v>
      </c>
      <c r="P396" s="11">
        <v>12</v>
      </c>
      <c r="Q396" s="11">
        <v>44</v>
      </c>
      <c r="R396" s="5">
        <f t="shared" si="24"/>
        <v>0.580952380952381</v>
      </c>
      <c r="S396" s="13" t="str">
        <f t="shared" si="25"/>
        <v>&gt;50</v>
      </c>
      <c r="T396" s="14">
        <f t="shared" si="26"/>
        <v>3</v>
      </c>
      <c r="U396" s="14">
        <f t="shared" si="27"/>
        <v>1.5</v>
      </c>
    </row>
    <row r="397" spans="1:21" x14ac:dyDescent="0.25">
      <c r="A397" s="1">
        <v>62330068</v>
      </c>
      <c r="B397" s="1">
        <v>199046</v>
      </c>
      <c r="C397" s="1" t="s">
        <v>851</v>
      </c>
      <c r="D397" s="1" t="s">
        <v>569</v>
      </c>
      <c r="E397" s="1" t="s">
        <v>853</v>
      </c>
      <c r="F397" s="1" t="s">
        <v>76</v>
      </c>
      <c r="G397" s="1" t="s">
        <v>23</v>
      </c>
      <c r="H397" s="1" t="s">
        <v>19</v>
      </c>
      <c r="I397" s="1" t="s">
        <v>103</v>
      </c>
      <c r="J397" s="1" t="s">
        <v>104</v>
      </c>
      <c r="K397" s="1" t="str">
        <f>VLOOKUP(J397,'IU Major Match'!$D$2:$E$65,2,FALSE)</f>
        <v xml:space="preserve">Major exists in IU </v>
      </c>
      <c r="L397" s="1">
        <v>70173823</v>
      </c>
      <c r="M397" s="1" t="s">
        <v>90</v>
      </c>
      <c r="N397" s="11">
        <v>100</v>
      </c>
      <c r="O397" s="11">
        <v>22</v>
      </c>
      <c r="P397" s="11">
        <v>9</v>
      </c>
      <c r="Q397" s="11">
        <v>69</v>
      </c>
      <c r="R397" s="5">
        <f t="shared" si="24"/>
        <v>0.31</v>
      </c>
      <c r="S397" s="13" t="str">
        <f t="shared" si="25"/>
        <v>=&lt;50</v>
      </c>
      <c r="T397" s="14">
        <f t="shared" si="26"/>
        <v>5</v>
      </c>
      <c r="U397" s="14">
        <f t="shared" si="27"/>
        <v>2.5</v>
      </c>
    </row>
    <row r="398" spans="1:21" x14ac:dyDescent="0.25">
      <c r="A398" s="1">
        <v>62330220</v>
      </c>
      <c r="B398" s="1">
        <v>202615</v>
      </c>
      <c r="C398" s="1" t="s">
        <v>854</v>
      </c>
      <c r="D398" s="1" t="s">
        <v>38</v>
      </c>
      <c r="E398" s="1" t="s">
        <v>855</v>
      </c>
      <c r="F398" s="1" t="s">
        <v>76</v>
      </c>
      <c r="G398" s="1" t="s">
        <v>93</v>
      </c>
      <c r="H398" s="1" t="s">
        <v>19</v>
      </c>
      <c r="I398" s="1" t="s">
        <v>168</v>
      </c>
      <c r="J398" s="1" t="s">
        <v>169</v>
      </c>
      <c r="K398" s="1" t="str">
        <f>VLOOKUP(J398,'IU Major Match'!$D$2:$E$65,2,FALSE)</f>
        <v>Major Dont exists in IU</v>
      </c>
      <c r="L398" s="1">
        <v>71098513</v>
      </c>
      <c r="M398" s="1" t="s">
        <v>90</v>
      </c>
      <c r="N398" s="11">
        <v>99</v>
      </c>
      <c r="O398" s="11">
        <v>63</v>
      </c>
      <c r="P398" s="11">
        <v>18</v>
      </c>
      <c r="Q398" s="11">
        <v>18</v>
      </c>
      <c r="R398" s="5">
        <f t="shared" si="24"/>
        <v>0.81818181818181823</v>
      </c>
      <c r="S398" s="13" t="str">
        <f t="shared" si="25"/>
        <v>&gt;50</v>
      </c>
      <c r="T398" s="14">
        <f t="shared" si="26"/>
        <v>2</v>
      </c>
      <c r="U398" s="14">
        <f t="shared" si="27"/>
        <v>1</v>
      </c>
    </row>
    <row r="399" spans="1:21" x14ac:dyDescent="0.25">
      <c r="A399" s="1">
        <v>62610002</v>
      </c>
      <c r="B399" s="1">
        <v>227196</v>
      </c>
      <c r="C399" s="1" t="s">
        <v>856</v>
      </c>
      <c r="D399" s="1" t="s">
        <v>416</v>
      </c>
      <c r="E399" s="1" t="s">
        <v>857</v>
      </c>
      <c r="F399" s="1" t="s">
        <v>76</v>
      </c>
      <c r="G399" s="1" t="s">
        <v>23</v>
      </c>
      <c r="H399" s="1" t="s">
        <v>19</v>
      </c>
      <c r="I399" s="1" t="s">
        <v>97</v>
      </c>
      <c r="J399" s="1" t="s">
        <v>98</v>
      </c>
      <c r="K399" s="1" t="str">
        <f>VLOOKUP(J399,'IU Major Match'!$D$2:$E$65,2,FALSE)</f>
        <v>Major Dont exists in IU</v>
      </c>
      <c r="L399" s="1">
        <v>81240371</v>
      </c>
      <c r="M399" s="1" t="s">
        <v>84</v>
      </c>
      <c r="N399" s="11">
        <v>105</v>
      </c>
      <c r="O399" s="11">
        <v>0</v>
      </c>
      <c r="P399" s="11">
        <v>10</v>
      </c>
      <c r="Q399" s="11">
        <v>113</v>
      </c>
      <c r="R399" s="5">
        <f t="shared" si="24"/>
        <v>9.5238095238095233E-2</v>
      </c>
      <c r="S399" s="13" t="str">
        <f t="shared" si="25"/>
        <v>=&lt;50</v>
      </c>
      <c r="T399" s="14">
        <f t="shared" si="26"/>
        <v>8</v>
      </c>
      <c r="U399" s="14">
        <f t="shared" si="27"/>
        <v>4</v>
      </c>
    </row>
    <row r="400" spans="1:21" x14ac:dyDescent="0.25">
      <c r="A400" s="1">
        <v>62510020</v>
      </c>
      <c r="B400" s="1">
        <v>217795</v>
      </c>
      <c r="C400" s="1" t="s">
        <v>858</v>
      </c>
      <c r="D400" s="1" t="s">
        <v>751</v>
      </c>
      <c r="E400" s="1" t="s">
        <v>859</v>
      </c>
      <c r="F400" s="1" t="s">
        <v>76</v>
      </c>
      <c r="G400" s="1" t="s">
        <v>93</v>
      </c>
      <c r="H400" s="1" t="s">
        <v>19</v>
      </c>
      <c r="I400" s="1" t="s">
        <v>349</v>
      </c>
      <c r="J400" s="1" t="s">
        <v>350</v>
      </c>
      <c r="K400" s="1" t="str">
        <f>VLOOKUP(J400,'IU Major Match'!$D$2:$E$65,2,FALSE)</f>
        <v xml:space="preserve">Major exists in IU </v>
      </c>
      <c r="L400" s="1">
        <v>70587421</v>
      </c>
      <c r="M400" s="1" t="s">
        <v>242</v>
      </c>
      <c r="N400" s="11">
        <v>99</v>
      </c>
      <c r="O400" s="11">
        <v>51</v>
      </c>
      <c r="P400" s="11">
        <v>18</v>
      </c>
      <c r="Q400" s="11">
        <v>30</v>
      </c>
      <c r="R400" s="5">
        <f t="shared" si="24"/>
        <v>0.69696969696969702</v>
      </c>
      <c r="S400" s="13" t="str">
        <f t="shared" si="25"/>
        <v>&gt;50</v>
      </c>
      <c r="T400" s="14">
        <f t="shared" si="26"/>
        <v>2</v>
      </c>
      <c r="U400" s="14">
        <f t="shared" si="27"/>
        <v>1</v>
      </c>
    </row>
    <row r="401" spans="1:21" x14ac:dyDescent="0.25">
      <c r="A401" s="1">
        <v>62430083</v>
      </c>
      <c r="B401" s="1">
        <v>209668</v>
      </c>
      <c r="C401" s="1" t="s">
        <v>858</v>
      </c>
      <c r="D401" s="1" t="s">
        <v>325</v>
      </c>
      <c r="E401" s="1" t="s">
        <v>860</v>
      </c>
      <c r="F401" s="1" t="s">
        <v>76</v>
      </c>
      <c r="G401" s="1" t="s">
        <v>23</v>
      </c>
      <c r="H401" s="1" t="s">
        <v>19</v>
      </c>
      <c r="I401" s="1" t="s">
        <v>542</v>
      </c>
      <c r="J401" s="1" t="s">
        <v>543</v>
      </c>
      <c r="K401" s="1" t="str">
        <f>VLOOKUP(J401,'IU Major Match'!$D$2:$E$65,2,FALSE)</f>
        <v xml:space="preserve">Major exists in IU </v>
      </c>
      <c r="L401" s="1">
        <v>96179169630</v>
      </c>
      <c r="M401" s="1" t="s">
        <v>113</v>
      </c>
      <c r="N401" s="11">
        <v>108</v>
      </c>
      <c r="O401" s="11">
        <v>57</v>
      </c>
      <c r="P401" s="11">
        <v>9</v>
      </c>
      <c r="Q401" s="11">
        <v>42</v>
      </c>
      <c r="R401" s="5">
        <f t="shared" si="24"/>
        <v>0.61111111111111116</v>
      </c>
      <c r="S401" s="13" t="str">
        <f t="shared" si="25"/>
        <v>&gt;50</v>
      </c>
      <c r="T401" s="14">
        <f t="shared" si="26"/>
        <v>3</v>
      </c>
      <c r="U401" s="14">
        <f t="shared" si="27"/>
        <v>1.5</v>
      </c>
    </row>
    <row r="402" spans="1:21" x14ac:dyDescent="0.25">
      <c r="A402" s="1">
        <v>62530044</v>
      </c>
      <c r="B402" s="1">
        <v>219806</v>
      </c>
      <c r="C402" s="1" t="s">
        <v>861</v>
      </c>
      <c r="D402" s="1" t="s">
        <v>92</v>
      </c>
      <c r="E402" s="1" t="s">
        <v>862</v>
      </c>
      <c r="F402" s="1" t="s">
        <v>76</v>
      </c>
      <c r="G402" s="1" t="s">
        <v>23</v>
      </c>
      <c r="H402" s="1" t="s">
        <v>19</v>
      </c>
      <c r="I402" s="1" t="s">
        <v>97</v>
      </c>
      <c r="J402" s="1" t="s">
        <v>98</v>
      </c>
      <c r="K402" s="1" t="str">
        <f>VLOOKUP(J402,'IU Major Match'!$D$2:$E$65,2,FALSE)</f>
        <v>Major Dont exists in IU</v>
      </c>
      <c r="L402" s="1">
        <v>3252954</v>
      </c>
      <c r="M402" s="1" t="s">
        <v>99</v>
      </c>
      <c r="N402" s="11">
        <v>105</v>
      </c>
      <c r="O402" s="11">
        <v>6</v>
      </c>
      <c r="P402" s="11">
        <v>14</v>
      </c>
      <c r="Q402" s="11">
        <v>85</v>
      </c>
      <c r="R402" s="5">
        <f t="shared" si="24"/>
        <v>0.19047619047619047</v>
      </c>
      <c r="S402" s="13" t="str">
        <f t="shared" si="25"/>
        <v>=&lt;50</v>
      </c>
      <c r="T402" s="14">
        <f t="shared" si="26"/>
        <v>6</v>
      </c>
      <c r="U402" s="14">
        <f t="shared" si="27"/>
        <v>3</v>
      </c>
    </row>
    <row r="403" spans="1:21" x14ac:dyDescent="0.25">
      <c r="A403" s="1">
        <v>62330158</v>
      </c>
      <c r="B403" s="1">
        <v>200559</v>
      </c>
      <c r="C403" s="1" t="s">
        <v>861</v>
      </c>
      <c r="D403" s="1" t="s">
        <v>15</v>
      </c>
      <c r="E403" s="1" t="s">
        <v>863</v>
      </c>
      <c r="F403" s="1" t="s">
        <v>76</v>
      </c>
      <c r="G403" s="1" t="s">
        <v>93</v>
      </c>
      <c r="H403" s="1" t="s">
        <v>19</v>
      </c>
      <c r="I403" s="1" t="s">
        <v>107</v>
      </c>
      <c r="J403" s="1" t="s">
        <v>108</v>
      </c>
      <c r="K403" s="1" t="str">
        <f>VLOOKUP(J403,'IU Major Match'!$D$2:$E$65,2,FALSE)</f>
        <v xml:space="preserve">Major exists in IU </v>
      </c>
      <c r="L403" s="1">
        <v>81411029</v>
      </c>
      <c r="M403" s="1" t="s">
        <v>90</v>
      </c>
      <c r="N403" s="11">
        <v>99</v>
      </c>
      <c r="O403" s="11">
        <v>63</v>
      </c>
      <c r="P403" s="11">
        <v>18</v>
      </c>
      <c r="Q403" s="11">
        <v>18</v>
      </c>
      <c r="R403" s="5">
        <f t="shared" si="24"/>
        <v>0.81818181818181823</v>
      </c>
      <c r="S403" s="13" t="str">
        <f t="shared" si="25"/>
        <v>&gt;50</v>
      </c>
      <c r="T403" s="14">
        <f t="shared" si="26"/>
        <v>2</v>
      </c>
      <c r="U403" s="14">
        <f t="shared" si="27"/>
        <v>1</v>
      </c>
    </row>
    <row r="404" spans="1:21" x14ac:dyDescent="0.25">
      <c r="A404" s="1">
        <v>62430101</v>
      </c>
      <c r="B404" s="1">
        <v>210641</v>
      </c>
      <c r="C404" s="1" t="s">
        <v>864</v>
      </c>
      <c r="D404" s="1" t="s">
        <v>38</v>
      </c>
      <c r="E404" s="1" t="s">
        <v>538</v>
      </c>
      <c r="F404" s="1" t="s">
        <v>76</v>
      </c>
      <c r="G404" s="1" t="s">
        <v>93</v>
      </c>
      <c r="H404" s="1" t="s">
        <v>19</v>
      </c>
      <c r="I404" s="1" t="s">
        <v>168</v>
      </c>
      <c r="J404" s="1" t="s">
        <v>169</v>
      </c>
      <c r="K404" s="1" t="str">
        <f>VLOOKUP(J404,'IU Major Match'!$D$2:$E$65,2,FALSE)</f>
        <v>Major Dont exists in IU</v>
      </c>
      <c r="L404" s="1">
        <v>79165783</v>
      </c>
      <c r="M404" s="1" t="s">
        <v>113</v>
      </c>
      <c r="N404" s="11">
        <v>99</v>
      </c>
      <c r="O404" s="11">
        <v>51</v>
      </c>
      <c r="P404" s="11">
        <v>18</v>
      </c>
      <c r="Q404" s="11">
        <v>30</v>
      </c>
      <c r="R404" s="5">
        <f t="shared" si="24"/>
        <v>0.69696969696969702</v>
      </c>
      <c r="S404" s="13" t="str">
        <f t="shared" si="25"/>
        <v>&gt;50</v>
      </c>
      <c r="T404" s="14">
        <f t="shared" si="26"/>
        <v>2</v>
      </c>
      <c r="U404" s="14">
        <f t="shared" si="27"/>
        <v>1</v>
      </c>
    </row>
    <row r="405" spans="1:21" x14ac:dyDescent="0.25">
      <c r="A405" s="1">
        <v>62330128</v>
      </c>
      <c r="B405" s="1">
        <v>199871</v>
      </c>
      <c r="C405" s="1" t="s">
        <v>865</v>
      </c>
      <c r="D405" s="1" t="s">
        <v>509</v>
      </c>
      <c r="E405" s="1" t="s">
        <v>866</v>
      </c>
      <c r="F405" s="1" t="s">
        <v>76</v>
      </c>
      <c r="G405" s="1" t="s">
        <v>23</v>
      </c>
      <c r="H405" s="1" t="s">
        <v>19</v>
      </c>
      <c r="I405" s="1" t="s">
        <v>103</v>
      </c>
      <c r="J405" s="1" t="s">
        <v>104</v>
      </c>
      <c r="K405" s="1" t="str">
        <f>VLOOKUP(J405,'IU Major Match'!$D$2:$E$65,2,FALSE)</f>
        <v xml:space="preserve">Major exists in IU </v>
      </c>
      <c r="L405" s="1">
        <v>70520043</v>
      </c>
      <c r="M405" s="1" t="s">
        <v>90</v>
      </c>
      <c r="N405" s="11">
        <v>100</v>
      </c>
      <c r="O405" s="11">
        <v>63</v>
      </c>
      <c r="P405" s="11">
        <v>15</v>
      </c>
      <c r="Q405" s="11">
        <v>22</v>
      </c>
      <c r="R405" s="5">
        <f t="shared" si="24"/>
        <v>0.78</v>
      </c>
      <c r="S405" s="13" t="str">
        <f t="shared" si="25"/>
        <v>&gt;50</v>
      </c>
      <c r="T405" s="14">
        <f t="shared" si="26"/>
        <v>2</v>
      </c>
      <c r="U405" s="14">
        <f t="shared" si="27"/>
        <v>1</v>
      </c>
    </row>
    <row r="406" spans="1:21" x14ac:dyDescent="0.25">
      <c r="A406" s="1">
        <v>62030221</v>
      </c>
      <c r="B406" s="1">
        <v>157931</v>
      </c>
      <c r="C406" s="1" t="s">
        <v>867</v>
      </c>
      <c r="D406" s="1" t="s">
        <v>46</v>
      </c>
      <c r="E406" s="1" t="s">
        <v>365</v>
      </c>
      <c r="F406" s="1" t="s">
        <v>76</v>
      </c>
      <c r="G406" s="1" t="s">
        <v>93</v>
      </c>
      <c r="H406" s="1" t="s">
        <v>19</v>
      </c>
      <c r="I406" s="1" t="s">
        <v>107</v>
      </c>
      <c r="J406" s="1" t="s">
        <v>108</v>
      </c>
      <c r="K406" s="1" t="str">
        <f>VLOOKUP(J406,'IU Major Match'!$D$2:$E$65,2,FALSE)</f>
        <v xml:space="preserve">Major exists in IU </v>
      </c>
      <c r="L406" s="1">
        <v>71851045</v>
      </c>
      <c r="M406" s="1" t="s">
        <v>51</v>
      </c>
      <c r="N406" s="11">
        <v>99</v>
      </c>
      <c r="O406" s="11">
        <v>93</v>
      </c>
      <c r="P406" s="11">
        <v>6</v>
      </c>
      <c r="Q406" s="11">
        <v>0</v>
      </c>
      <c r="R406" s="5">
        <f t="shared" si="24"/>
        <v>1</v>
      </c>
      <c r="S406" s="13" t="str">
        <f t="shared" si="25"/>
        <v>&gt;50</v>
      </c>
      <c r="T406" s="14">
        <f t="shared" si="26"/>
        <v>0</v>
      </c>
      <c r="U406" s="14">
        <f t="shared" si="27"/>
        <v>0</v>
      </c>
    </row>
    <row r="407" spans="1:21" x14ac:dyDescent="0.25">
      <c r="A407" s="1">
        <v>62530136</v>
      </c>
      <c r="B407" s="1">
        <v>222256</v>
      </c>
      <c r="C407" s="1" t="s">
        <v>868</v>
      </c>
      <c r="D407" s="1" t="s">
        <v>869</v>
      </c>
      <c r="E407" s="1" t="s">
        <v>870</v>
      </c>
      <c r="F407" s="1" t="s">
        <v>76</v>
      </c>
      <c r="G407" s="1" t="s">
        <v>23</v>
      </c>
      <c r="H407" s="1" t="s">
        <v>19</v>
      </c>
      <c r="I407" s="1" t="s">
        <v>97</v>
      </c>
      <c r="J407" s="1" t="s">
        <v>98</v>
      </c>
      <c r="K407" s="1" t="str">
        <f>VLOOKUP(J407,'IU Major Match'!$D$2:$E$65,2,FALSE)</f>
        <v>Major Dont exists in IU</v>
      </c>
      <c r="L407" s="1">
        <v>81322790</v>
      </c>
      <c r="M407" s="1" t="s">
        <v>99</v>
      </c>
      <c r="N407" s="11">
        <v>105</v>
      </c>
      <c r="O407" s="11">
        <v>3</v>
      </c>
      <c r="P407" s="11">
        <v>13</v>
      </c>
      <c r="Q407" s="11">
        <v>103</v>
      </c>
      <c r="R407" s="5">
        <f t="shared" si="24"/>
        <v>0.15238095238095239</v>
      </c>
      <c r="S407" s="13" t="str">
        <f t="shared" si="25"/>
        <v>=&lt;50</v>
      </c>
      <c r="T407" s="14">
        <f t="shared" si="26"/>
        <v>7</v>
      </c>
      <c r="U407" s="14">
        <f t="shared" si="27"/>
        <v>3.5</v>
      </c>
    </row>
    <row r="408" spans="1:21" x14ac:dyDescent="0.25">
      <c r="A408" s="1">
        <v>62430033</v>
      </c>
      <c r="B408" s="1">
        <v>213641</v>
      </c>
      <c r="C408" s="1" t="s">
        <v>871</v>
      </c>
      <c r="D408" s="1" t="s">
        <v>261</v>
      </c>
      <c r="E408" s="1" t="s">
        <v>298</v>
      </c>
      <c r="F408" s="1" t="s">
        <v>76</v>
      </c>
      <c r="G408" s="1" t="s">
        <v>200</v>
      </c>
      <c r="H408" s="1" t="s">
        <v>19</v>
      </c>
      <c r="I408" s="1" t="s">
        <v>201</v>
      </c>
      <c r="J408" s="1" t="s">
        <v>202</v>
      </c>
      <c r="K408" s="1" t="str">
        <f>VLOOKUP(J408,'IU Major Match'!$D$2:$E$65,2,FALSE)</f>
        <v>Major Dont exists in IU</v>
      </c>
      <c r="L408" s="1">
        <v>96181949759</v>
      </c>
      <c r="M408" s="1" t="s">
        <v>113</v>
      </c>
      <c r="N408" s="11">
        <v>65</v>
      </c>
      <c r="O408" s="11">
        <v>38</v>
      </c>
      <c r="P408" s="11">
        <v>15</v>
      </c>
      <c r="Q408" s="11">
        <v>12</v>
      </c>
      <c r="R408" s="5">
        <f t="shared" si="24"/>
        <v>0.81538461538461537</v>
      </c>
      <c r="S408" s="13" t="str">
        <f t="shared" si="25"/>
        <v>&gt;50</v>
      </c>
      <c r="T408" s="14">
        <f t="shared" si="26"/>
        <v>1</v>
      </c>
      <c r="U408" s="14">
        <f t="shared" si="27"/>
        <v>0.5</v>
      </c>
    </row>
    <row r="409" spans="1:21" x14ac:dyDescent="0.25">
      <c r="A409" s="1">
        <v>62230093</v>
      </c>
      <c r="B409" s="1">
        <v>188656</v>
      </c>
      <c r="C409" s="1" t="s">
        <v>871</v>
      </c>
      <c r="D409" s="1" t="s">
        <v>145</v>
      </c>
      <c r="E409" s="1" t="s">
        <v>872</v>
      </c>
      <c r="F409" s="1" t="s">
        <v>76</v>
      </c>
      <c r="G409" s="1" t="s">
        <v>93</v>
      </c>
      <c r="H409" s="1" t="s">
        <v>19</v>
      </c>
      <c r="I409" s="1" t="s">
        <v>133</v>
      </c>
      <c r="J409" s="1" t="s">
        <v>134</v>
      </c>
      <c r="K409" s="1" t="str">
        <f>VLOOKUP(J409,'IU Major Match'!$D$2:$E$65,2,FALSE)</f>
        <v xml:space="preserve">Major exists in IU </v>
      </c>
      <c r="L409" s="1">
        <v>76163037</v>
      </c>
      <c r="M409" s="1" t="s">
        <v>153</v>
      </c>
      <c r="N409" s="11">
        <v>99</v>
      </c>
      <c r="O409" s="11">
        <v>81</v>
      </c>
      <c r="P409" s="11">
        <v>18</v>
      </c>
      <c r="Q409" s="11">
        <v>0</v>
      </c>
      <c r="R409" s="5">
        <f t="shared" si="24"/>
        <v>1</v>
      </c>
      <c r="S409" s="13" t="str">
        <f t="shared" si="25"/>
        <v>&gt;50</v>
      </c>
      <c r="T409" s="14">
        <f t="shared" si="26"/>
        <v>0</v>
      </c>
      <c r="U409" s="14">
        <f t="shared" si="27"/>
        <v>0</v>
      </c>
    </row>
    <row r="410" spans="1:21" x14ac:dyDescent="0.25">
      <c r="A410" s="1">
        <v>62530261</v>
      </c>
      <c r="B410" s="1">
        <v>225719</v>
      </c>
      <c r="C410" s="1" t="s">
        <v>871</v>
      </c>
      <c r="D410" s="1" t="s">
        <v>873</v>
      </c>
      <c r="E410" s="1" t="s">
        <v>874</v>
      </c>
      <c r="F410" s="1" t="s">
        <v>76</v>
      </c>
      <c r="G410" s="1" t="s">
        <v>23</v>
      </c>
      <c r="H410" s="1" t="s">
        <v>19</v>
      </c>
      <c r="I410" s="1" t="s">
        <v>258</v>
      </c>
      <c r="J410" s="1" t="s">
        <v>259</v>
      </c>
      <c r="K410" s="1" t="str">
        <f>VLOOKUP(J410,'IU Major Match'!$D$2:$E$65,2,FALSE)</f>
        <v xml:space="preserve">Major exists in IU </v>
      </c>
      <c r="L410" s="1">
        <v>81294843</v>
      </c>
      <c r="M410" s="1" t="s">
        <v>99</v>
      </c>
      <c r="N410" s="11">
        <v>108</v>
      </c>
      <c r="O410" s="11">
        <v>6</v>
      </c>
      <c r="P410" s="11">
        <v>12</v>
      </c>
      <c r="Q410" s="11">
        <v>90</v>
      </c>
      <c r="R410" s="5">
        <f t="shared" si="24"/>
        <v>0.16666666666666666</v>
      </c>
      <c r="S410" s="13" t="str">
        <f t="shared" si="25"/>
        <v>=&lt;50</v>
      </c>
      <c r="T410" s="14">
        <f t="shared" si="26"/>
        <v>6</v>
      </c>
      <c r="U410" s="14">
        <f t="shared" si="27"/>
        <v>3</v>
      </c>
    </row>
    <row r="411" spans="1:21" x14ac:dyDescent="0.25">
      <c r="A411" s="1">
        <v>62330062</v>
      </c>
      <c r="B411" s="1">
        <v>199048</v>
      </c>
      <c r="C411" s="1" t="s">
        <v>871</v>
      </c>
      <c r="D411" s="1" t="s">
        <v>680</v>
      </c>
      <c r="E411" s="1" t="s">
        <v>875</v>
      </c>
      <c r="F411" s="1" t="s">
        <v>76</v>
      </c>
      <c r="G411" s="1" t="s">
        <v>23</v>
      </c>
      <c r="H411" s="1" t="s">
        <v>19</v>
      </c>
      <c r="I411" s="1" t="s">
        <v>159</v>
      </c>
      <c r="J411" s="1" t="s">
        <v>160</v>
      </c>
      <c r="K411" s="1" t="str">
        <f>VLOOKUP(J411,'IU Major Match'!$D$2:$E$65,2,FALSE)</f>
        <v xml:space="preserve">Major exists in IU </v>
      </c>
      <c r="L411" s="1">
        <v>96171267323</v>
      </c>
      <c r="M411" s="1" t="s">
        <v>90</v>
      </c>
      <c r="N411" s="11">
        <v>99</v>
      </c>
      <c r="O411" s="11">
        <v>55</v>
      </c>
      <c r="P411" s="11">
        <v>16</v>
      </c>
      <c r="Q411" s="11">
        <v>28</v>
      </c>
      <c r="R411" s="5">
        <f t="shared" si="24"/>
        <v>0.71717171717171713</v>
      </c>
      <c r="S411" s="13" t="str">
        <f t="shared" si="25"/>
        <v>&gt;50</v>
      </c>
      <c r="T411" s="14">
        <f t="shared" si="26"/>
        <v>2</v>
      </c>
      <c r="U411" s="14">
        <f t="shared" si="27"/>
        <v>1</v>
      </c>
    </row>
    <row r="412" spans="1:21" x14ac:dyDescent="0.25">
      <c r="A412" s="1">
        <v>62530164</v>
      </c>
      <c r="B412" s="1">
        <v>225845</v>
      </c>
      <c r="C412" s="1" t="s">
        <v>871</v>
      </c>
      <c r="D412" s="1" t="s">
        <v>447</v>
      </c>
      <c r="E412" s="1" t="s">
        <v>312</v>
      </c>
      <c r="F412" s="1" t="s">
        <v>76</v>
      </c>
      <c r="G412" s="1" t="s">
        <v>23</v>
      </c>
      <c r="H412" s="1" t="s">
        <v>19</v>
      </c>
      <c r="I412" s="1" t="s">
        <v>142</v>
      </c>
      <c r="J412" s="1" t="s">
        <v>143</v>
      </c>
      <c r="K412" s="1" t="str">
        <f>VLOOKUP(J412,'IU Major Match'!$D$2:$E$65,2,FALSE)</f>
        <v xml:space="preserve">Major exists in IU </v>
      </c>
      <c r="L412" s="1">
        <v>76342904</v>
      </c>
      <c r="M412" s="1" t="s">
        <v>99</v>
      </c>
      <c r="N412" s="11">
        <v>99</v>
      </c>
      <c r="O412" s="11">
        <v>24</v>
      </c>
      <c r="P412" s="11">
        <v>15</v>
      </c>
      <c r="Q412" s="11">
        <v>60</v>
      </c>
      <c r="R412" s="5">
        <f t="shared" si="24"/>
        <v>0.39393939393939392</v>
      </c>
      <c r="S412" s="13" t="str">
        <f t="shared" si="25"/>
        <v>=&lt;50</v>
      </c>
      <c r="T412" s="14">
        <f t="shared" si="26"/>
        <v>4</v>
      </c>
      <c r="U412" s="14">
        <f t="shared" si="27"/>
        <v>2</v>
      </c>
    </row>
    <row r="413" spans="1:21" x14ac:dyDescent="0.25">
      <c r="A413" s="1">
        <v>62330295</v>
      </c>
      <c r="B413" s="1">
        <v>205243</v>
      </c>
      <c r="C413" s="1" t="s">
        <v>871</v>
      </c>
      <c r="D413" s="1" t="s">
        <v>716</v>
      </c>
      <c r="E413" s="1" t="s">
        <v>34</v>
      </c>
      <c r="F413" s="1" t="s">
        <v>76</v>
      </c>
      <c r="G413" s="1" t="s">
        <v>93</v>
      </c>
      <c r="H413" s="1" t="s">
        <v>19</v>
      </c>
      <c r="I413" s="1" t="s">
        <v>94</v>
      </c>
      <c r="J413" s="1" t="s">
        <v>95</v>
      </c>
      <c r="K413" s="1" t="str">
        <f>VLOOKUP(J413,'IU Major Match'!$D$2:$E$65,2,FALSE)</f>
        <v xml:space="preserve">Major exists in IU </v>
      </c>
      <c r="L413" s="1">
        <v>96170679643</v>
      </c>
      <c r="M413" s="1" t="s">
        <v>90</v>
      </c>
      <c r="N413" s="11">
        <v>99</v>
      </c>
      <c r="O413" s="11">
        <v>63</v>
      </c>
      <c r="P413" s="11">
        <v>18</v>
      </c>
      <c r="Q413" s="11">
        <v>18</v>
      </c>
      <c r="R413" s="5">
        <f t="shared" si="24"/>
        <v>0.81818181818181823</v>
      </c>
      <c r="S413" s="13" t="str">
        <f t="shared" si="25"/>
        <v>&gt;50</v>
      </c>
      <c r="T413" s="14">
        <f t="shared" si="26"/>
        <v>2</v>
      </c>
      <c r="U413" s="14">
        <f t="shared" si="27"/>
        <v>1</v>
      </c>
    </row>
    <row r="414" spans="1:21" x14ac:dyDescent="0.25">
      <c r="A414" s="1">
        <v>62430148</v>
      </c>
      <c r="B414" s="1">
        <v>210615</v>
      </c>
      <c r="C414" s="1" t="s">
        <v>871</v>
      </c>
      <c r="D414" s="1" t="s">
        <v>15</v>
      </c>
      <c r="E414" s="1" t="s">
        <v>876</v>
      </c>
      <c r="F414" s="1" t="s">
        <v>76</v>
      </c>
      <c r="G414" s="1" t="s">
        <v>23</v>
      </c>
      <c r="H414" s="1" t="s">
        <v>19</v>
      </c>
      <c r="I414" s="1" t="s">
        <v>159</v>
      </c>
      <c r="J414" s="1" t="s">
        <v>160</v>
      </c>
      <c r="K414" s="1" t="str">
        <f>VLOOKUP(J414,'IU Major Match'!$D$2:$E$65,2,FALSE)</f>
        <v xml:space="preserve">Major exists in IU </v>
      </c>
      <c r="L414" s="1">
        <v>71863154</v>
      </c>
      <c r="M414" s="1" t="s">
        <v>113</v>
      </c>
      <c r="N414" s="11">
        <v>99</v>
      </c>
      <c r="O414" s="11">
        <v>24</v>
      </c>
      <c r="P414" s="11">
        <v>12</v>
      </c>
      <c r="Q414" s="11">
        <v>63</v>
      </c>
      <c r="R414" s="5">
        <f t="shared" si="24"/>
        <v>0.36363636363636365</v>
      </c>
      <c r="S414" s="13" t="str">
        <f t="shared" si="25"/>
        <v>=&lt;50</v>
      </c>
      <c r="T414" s="14">
        <f t="shared" si="26"/>
        <v>5</v>
      </c>
      <c r="U414" s="14">
        <f t="shared" si="27"/>
        <v>2.5</v>
      </c>
    </row>
    <row r="415" spans="1:21" x14ac:dyDescent="0.25">
      <c r="A415" s="1">
        <v>62510027</v>
      </c>
      <c r="B415" s="1">
        <v>217801</v>
      </c>
      <c r="C415" s="1" t="s">
        <v>871</v>
      </c>
      <c r="D415" s="1" t="s">
        <v>325</v>
      </c>
      <c r="E415" s="1" t="s">
        <v>383</v>
      </c>
      <c r="F415" s="1" t="s">
        <v>76</v>
      </c>
      <c r="G415" s="1" t="s">
        <v>93</v>
      </c>
      <c r="H415" s="1" t="s">
        <v>19</v>
      </c>
      <c r="I415" s="1" t="s">
        <v>754</v>
      </c>
      <c r="J415" s="1" t="s">
        <v>755</v>
      </c>
      <c r="K415" s="1" t="str">
        <f>VLOOKUP(J415,'IU Major Match'!$D$2:$E$65,2,FALSE)</f>
        <v xml:space="preserve">Major exists in IU </v>
      </c>
      <c r="L415" s="1">
        <v>3284140</v>
      </c>
      <c r="M415" s="1" t="s">
        <v>242</v>
      </c>
      <c r="N415" s="11">
        <v>99</v>
      </c>
      <c r="O415" s="11">
        <v>27</v>
      </c>
      <c r="P415" s="11">
        <v>15</v>
      </c>
      <c r="Q415" s="11">
        <v>57</v>
      </c>
      <c r="R415" s="5">
        <f t="shared" si="24"/>
        <v>0.42424242424242425</v>
      </c>
      <c r="S415" s="13" t="str">
        <f t="shared" si="25"/>
        <v>=&lt;50</v>
      </c>
      <c r="T415" s="14">
        <f t="shared" si="26"/>
        <v>4</v>
      </c>
      <c r="U415" s="14">
        <f t="shared" si="27"/>
        <v>2</v>
      </c>
    </row>
    <row r="416" spans="1:21" x14ac:dyDescent="0.25">
      <c r="A416" s="1">
        <v>62430039</v>
      </c>
      <c r="B416" s="1">
        <v>209474</v>
      </c>
      <c r="C416" s="1" t="s">
        <v>871</v>
      </c>
      <c r="D416" s="1" t="s">
        <v>38</v>
      </c>
      <c r="E416" s="1" t="s">
        <v>225</v>
      </c>
      <c r="F416" s="1" t="s">
        <v>76</v>
      </c>
      <c r="G416" s="1" t="s">
        <v>23</v>
      </c>
      <c r="H416" s="1" t="s">
        <v>19</v>
      </c>
      <c r="I416" s="1" t="s">
        <v>159</v>
      </c>
      <c r="J416" s="1" t="s">
        <v>160</v>
      </c>
      <c r="K416" s="1" t="str">
        <f>VLOOKUP(J416,'IU Major Match'!$D$2:$E$65,2,FALSE)</f>
        <v xml:space="preserve">Major exists in IU </v>
      </c>
      <c r="L416" s="1">
        <v>81406348</v>
      </c>
      <c r="M416" s="1" t="s">
        <v>113</v>
      </c>
      <c r="N416" s="11">
        <v>99</v>
      </c>
      <c r="O416" s="11">
        <v>43</v>
      </c>
      <c r="P416" s="11">
        <v>19</v>
      </c>
      <c r="Q416" s="11">
        <v>37</v>
      </c>
      <c r="R416" s="5">
        <f t="shared" si="24"/>
        <v>0.6262626262626263</v>
      </c>
      <c r="S416" s="13" t="str">
        <f t="shared" si="25"/>
        <v>&gt;50</v>
      </c>
      <c r="T416" s="14">
        <f t="shared" si="26"/>
        <v>3</v>
      </c>
      <c r="U416" s="14">
        <f t="shared" si="27"/>
        <v>1.5</v>
      </c>
    </row>
    <row r="417" spans="1:21" x14ac:dyDescent="0.25">
      <c r="A417" s="1">
        <v>62430061</v>
      </c>
      <c r="B417" s="1">
        <v>209712</v>
      </c>
      <c r="C417" s="1" t="s">
        <v>871</v>
      </c>
      <c r="D417" s="1" t="s">
        <v>199</v>
      </c>
      <c r="E417" s="1" t="s">
        <v>390</v>
      </c>
      <c r="F417" s="1" t="s">
        <v>76</v>
      </c>
      <c r="G417" s="1" t="s">
        <v>93</v>
      </c>
      <c r="H417" s="1" t="s">
        <v>19</v>
      </c>
      <c r="I417" s="1" t="s">
        <v>111</v>
      </c>
      <c r="J417" s="1" t="s">
        <v>112</v>
      </c>
      <c r="K417" s="1" t="str">
        <f>VLOOKUP(J417,'IU Major Match'!$D$2:$E$65,2,FALSE)</f>
        <v xml:space="preserve">Major exists in IU </v>
      </c>
      <c r="L417" s="1">
        <v>96181853680</v>
      </c>
      <c r="M417" s="1" t="s">
        <v>113</v>
      </c>
      <c r="N417" s="11">
        <v>99</v>
      </c>
      <c r="O417" s="11">
        <v>39</v>
      </c>
      <c r="P417" s="11">
        <v>15</v>
      </c>
      <c r="Q417" s="11">
        <v>45</v>
      </c>
      <c r="R417" s="5">
        <f t="shared" si="24"/>
        <v>0.54545454545454541</v>
      </c>
      <c r="S417" s="13" t="str">
        <f t="shared" si="25"/>
        <v>&gt;50</v>
      </c>
      <c r="T417" s="14">
        <f t="shared" si="26"/>
        <v>3</v>
      </c>
      <c r="U417" s="14">
        <f t="shared" si="27"/>
        <v>1.5</v>
      </c>
    </row>
    <row r="418" spans="1:21" x14ac:dyDescent="0.25">
      <c r="A418" s="1">
        <v>62130465</v>
      </c>
      <c r="B418" s="1">
        <v>180094</v>
      </c>
      <c r="C418" s="1" t="s">
        <v>871</v>
      </c>
      <c r="D418" s="1" t="s">
        <v>877</v>
      </c>
      <c r="E418" s="1" t="s">
        <v>878</v>
      </c>
      <c r="F418" s="1" t="s">
        <v>76</v>
      </c>
      <c r="G418" s="1" t="s">
        <v>23</v>
      </c>
      <c r="H418" s="1" t="s">
        <v>19</v>
      </c>
      <c r="I418" s="1" t="s">
        <v>151</v>
      </c>
      <c r="J418" s="1" t="s">
        <v>152</v>
      </c>
      <c r="K418" s="1" t="str">
        <f>VLOOKUP(J418,'IU Major Match'!$D$2:$E$65,2,FALSE)</f>
        <v>Major Dont exists in IU</v>
      </c>
      <c r="L418" s="1">
        <v>71650287</v>
      </c>
      <c r="M418" s="1" t="s">
        <v>79</v>
      </c>
      <c r="N418" s="11">
        <v>105</v>
      </c>
      <c r="O418" s="11">
        <v>99</v>
      </c>
      <c r="P418" s="11">
        <v>6</v>
      </c>
      <c r="Q418" s="11">
        <v>0</v>
      </c>
      <c r="R418" s="5">
        <f t="shared" si="24"/>
        <v>1</v>
      </c>
      <c r="S418" s="13" t="str">
        <f t="shared" si="25"/>
        <v>&gt;50</v>
      </c>
      <c r="T418" s="14">
        <f t="shared" si="26"/>
        <v>0</v>
      </c>
      <c r="U418" s="14">
        <f t="shared" si="27"/>
        <v>0</v>
      </c>
    </row>
    <row r="419" spans="1:21" x14ac:dyDescent="0.25">
      <c r="A419" s="1">
        <v>62430018</v>
      </c>
      <c r="B419" s="1">
        <v>209308</v>
      </c>
      <c r="C419" s="1" t="s">
        <v>879</v>
      </c>
      <c r="D419" s="1" t="s">
        <v>880</v>
      </c>
      <c r="E419" s="1" t="s">
        <v>881</v>
      </c>
      <c r="F419" s="1" t="s">
        <v>76</v>
      </c>
      <c r="G419" s="1" t="s">
        <v>23</v>
      </c>
      <c r="H419" s="1" t="s">
        <v>19</v>
      </c>
      <c r="I419" s="1" t="s">
        <v>151</v>
      </c>
      <c r="J419" s="1" t="s">
        <v>152</v>
      </c>
      <c r="K419" s="1" t="str">
        <f>VLOOKUP(J419,'IU Major Match'!$D$2:$E$65,2,FALSE)</f>
        <v>Major Dont exists in IU</v>
      </c>
      <c r="L419" s="1">
        <v>96178851440</v>
      </c>
      <c r="M419" s="1" t="s">
        <v>113</v>
      </c>
      <c r="N419" s="11">
        <v>105</v>
      </c>
      <c r="O419" s="11">
        <v>21</v>
      </c>
      <c r="P419" s="11">
        <v>14</v>
      </c>
      <c r="Q419" s="11">
        <v>70</v>
      </c>
      <c r="R419" s="5">
        <f t="shared" si="24"/>
        <v>0.33333333333333331</v>
      </c>
      <c r="S419" s="13" t="str">
        <f t="shared" si="25"/>
        <v>=&lt;50</v>
      </c>
      <c r="T419" s="14">
        <f t="shared" si="26"/>
        <v>5</v>
      </c>
      <c r="U419" s="14">
        <f t="shared" si="27"/>
        <v>2.5</v>
      </c>
    </row>
    <row r="420" spans="1:21" x14ac:dyDescent="0.25">
      <c r="A420" s="1">
        <v>62230181</v>
      </c>
      <c r="B420" s="1">
        <v>187261</v>
      </c>
      <c r="C420" s="1" t="s">
        <v>882</v>
      </c>
      <c r="D420" s="1" t="s">
        <v>305</v>
      </c>
      <c r="E420" s="1" t="s">
        <v>883</v>
      </c>
      <c r="F420" s="1" t="s">
        <v>76</v>
      </c>
      <c r="G420" s="1" t="s">
        <v>93</v>
      </c>
      <c r="H420" s="1" t="s">
        <v>19</v>
      </c>
      <c r="I420" s="1" t="s">
        <v>94</v>
      </c>
      <c r="J420" s="1" t="s">
        <v>95</v>
      </c>
      <c r="K420" s="1" t="str">
        <f>VLOOKUP(J420,'IU Major Match'!$D$2:$E$65,2,FALSE)</f>
        <v xml:space="preserve">Major exists in IU </v>
      </c>
      <c r="L420" s="1">
        <v>76580467</v>
      </c>
      <c r="M420" s="1" t="s">
        <v>153</v>
      </c>
      <c r="N420" s="11">
        <v>99</v>
      </c>
      <c r="O420" s="11">
        <v>48</v>
      </c>
      <c r="P420" s="11">
        <v>18</v>
      </c>
      <c r="Q420" s="11">
        <v>33</v>
      </c>
      <c r="R420" s="5">
        <f t="shared" si="24"/>
        <v>0.66666666666666663</v>
      </c>
      <c r="S420" s="13" t="str">
        <f t="shared" si="25"/>
        <v>&gt;50</v>
      </c>
      <c r="T420" s="14">
        <f t="shared" si="26"/>
        <v>3</v>
      </c>
      <c r="U420" s="14">
        <f t="shared" si="27"/>
        <v>1.5</v>
      </c>
    </row>
    <row r="421" spans="1:21" x14ac:dyDescent="0.25">
      <c r="A421" s="1">
        <v>62430170</v>
      </c>
      <c r="B421" s="1">
        <v>212176</v>
      </c>
      <c r="C421" s="1" t="s">
        <v>884</v>
      </c>
      <c r="D421" s="1" t="s">
        <v>885</v>
      </c>
      <c r="E421" s="1" t="s">
        <v>886</v>
      </c>
      <c r="F421" s="1" t="s">
        <v>76</v>
      </c>
      <c r="G421" s="1" t="s">
        <v>23</v>
      </c>
      <c r="H421" s="1" t="s">
        <v>19</v>
      </c>
      <c r="I421" s="1" t="s">
        <v>88</v>
      </c>
      <c r="J421" s="1" t="s">
        <v>89</v>
      </c>
      <c r="K421" s="1" t="str">
        <f>VLOOKUP(J421,'IU Major Match'!$D$2:$E$65,2,FALSE)</f>
        <v xml:space="preserve">Major exists in IU </v>
      </c>
      <c r="L421" s="1">
        <v>76188694</v>
      </c>
      <c r="M421" s="1" t="s">
        <v>113</v>
      </c>
      <c r="N421" s="11">
        <v>99</v>
      </c>
      <c r="O421" s="11">
        <v>15</v>
      </c>
      <c r="P421" s="11">
        <v>12</v>
      </c>
      <c r="Q421" s="11">
        <v>72</v>
      </c>
      <c r="R421" s="5">
        <f t="shared" si="24"/>
        <v>0.27272727272727271</v>
      </c>
      <c r="S421" s="13" t="str">
        <f t="shared" si="25"/>
        <v>=&lt;50</v>
      </c>
      <c r="T421" s="14">
        <f t="shared" si="26"/>
        <v>5</v>
      </c>
      <c r="U421" s="14">
        <f t="shared" si="27"/>
        <v>2.5</v>
      </c>
    </row>
    <row r="422" spans="1:21" x14ac:dyDescent="0.25">
      <c r="A422" s="1">
        <v>62510032</v>
      </c>
      <c r="B422" s="1">
        <v>218004</v>
      </c>
      <c r="C422" s="1" t="s">
        <v>887</v>
      </c>
      <c r="D422" s="1" t="s">
        <v>888</v>
      </c>
      <c r="E422" s="1" t="s">
        <v>889</v>
      </c>
      <c r="F422" s="1" t="s">
        <v>76</v>
      </c>
      <c r="G422" s="1" t="s">
        <v>23</v>
      </c>
      <c r="H422" s="1" t="s">
        <v>19</v>
      </c>
      <c r="I422" s="1" t="s">
        <v>890</v>
      </c>
      <c r="J422" s="1" t="s">
        <v>891</v>
      </c>
      <c r="K422" s="1" t="str">
        <f>VLOOKUP(J422,'IU Major Match'!$D$2:$E$65,2,FALSE)</f>
        <v xml:space="preserve">Major exists in IU </v>
      </c>
      <c r="L422" s="1">
        <v>70253436</v>
      </c>
      <c r="M422" s="1" t="s">
        <v>242</v>
      </c>
      <c r="N422" s="11">
        <v>108</v>
      </c>
      <c r="O422" s="11">
        <v>75</v>
      </c>
      <c r="P422" s="11">
        <v>18</v>
      </c>
      <c r="Q422" s="11">
        <v>15</v>
      </c>
      <c r="R422" s="5">
        <f t="shared" si="24"/>
        <v>0.86111111111111116</v>
      </c>
      <c r="S422" s="13" t="str">
        <f t="shared" si="25"/>
        <v>&gt;50</v>
      </c>
      <c r="T422" s="14">
        <f t="shared" si="26"/>
        <v>1</v>
      </c>
      <c r="U422" s="14">
        <f t="shared" si="27"/>
        <v>0.5</v>
      </c>
    </row>
    <row r="423" spans="1:21" x14ac:dyDescent="0.25">
      <c r="A423" s="1">
        <v>62330342</v>
      </c>
      <c r="B423" s="1">
        <v>206289</v>
      </c>
      <c r="C423" s="1" t="s">
        <v>892</v>
      </c>
      <c r="D423" s="1" t="s">
        <v>893</v>
      </c>
      <c r="E423" s="1" t="s">
        <v>894</v>
      </c>
      <c r="F423" s="1" t="s">
        <v>76</v>
      </c>
      <c r="G423" s="1" t="s">
        <v>93</v>
      </c>
      <c r="H423" s="1" t="s">
        <v>19</v>
      </c>
      <c r="I423" s="1" t="s">
        <v>111</v>
      </c>
      <c r="J423" s="1" t="s">
        <v>112</v>
      </c>
      <c r="K423" s="1" t="str">
        <f>VLOOKUP(J423,'IU Major Match'!$D$2:$E$65,2,FALSE)</f>
        <v xml:space="preserve">Major exists in IU </v>
      </c>
      <c r="L423" s="1">
        <v>96171966329</v>
      </c>
      <c r="M423" s="1" t="s">
        <v>90</v>
      </c>
      <c r="N423" s="11">
        <v>99</v>
      </c>
      <c r="O423" s="11">
        <v>36</v>
      </c>
      <c r="P423" s="11">
        <v>15</v>
      </c>
      <c r="Q423" s="11">
        <v>48</v>
      </c>
      <c r="R423" s="5">
        <f t="shared" si="24"/>
        <v>0.51515151515151514</v>
      </c>
      <c r="S423" s="13" t="str">
        <f t="shared" si="25"/>
        <v>&gt;50</v>
      </c>
      <c r="T423" s="14">
        <f t="shared" si="26"/>
        <v>4</v>
      </c>
      <c r="U423" s="14">
        <f t="shared" si="27"/>
        <v>2</v>
      </c>
    </row>
    <row r="424" spans="1:21" x14ac:dyDescent="0.25">
      <c r="A424" s="1">
        <v>62330133</v>
      </c>
      <c r="B424" s="1">
        <v>199846</v>
      </c>
      <c r="C424" s="1" t="s">
        <v>895</v>
      </c>
      <c r="D424" s="1" t="s">
        <v>240</v>
      </c>
      <c r="E424" s="1" t="s">
        <v>896</v>
      </c>
      <c r="F424" s="1" t="s">
        <v>76</v>
      </c>
      <c r="G424" s="1" t="s">
        <v>93</v>
      </c>
      <c r="H424" s="1" t="s">
        <v>19</v>
      </c>
      <c r="I424" s="1" t="s">
        <v>107</v>
      </c>
      <c r="J424" s="1" t="s">
        <v>108</v>
      </c>
      <c r="K424" s="1" t="str">
        <f>VLOOKUP(J424,'IU Major Match'!$D$2:$E$65,2,FALSE)</f>
        <v xml:space="preserve">Major exists in IU </v>
      </c>
      <c r="L424" s="1">
        <v>96170600418</v>
      </c>
      <c r="M424" s="1" t="s">
        <v>90</v>
      </c>
      <c r="N424" s="11">
        <v>99</v>
      </c>
      <c r="O424" s="11">
        <v>0</v>
      </c>
      <c r="P424" s="11">
        <v>10</v>
      </c>
      <c r="Q424" s="11">
        <v>97</v>
      </c>
      <c r="R424" s="5">
        <f t="shared" si="24"/>
        <v>0.10101010101010101</v>
      </c>
      <c r="S424" s="13" t="str">
        <f t="shared" si="25"/>
        <v>=&lt;50</v>
      </c>
      <c r="T424" s="14">
        <f t="shared" si="26"/>
        <v>7</v>
      </c>
      <c r="U424" s="14">
        <f t="shared" si="27"/>
        <v>3.5</v>
      </c>
    </row>
    <row r="425" spans="1:21" x14ac:dyDescent="0.25">
      <c r="A425" s="1">
        <v>62330046</v>
      </c>
      <c r="B425" s="1">
        <v>198762</v>
      </c>
      <c r="C425" s="1" t="s">
        <v>897</v>
      </c>
      <c r="D425" s="1" t="s">
        <v>265</v>
      </c>
      <c r="E425" s="1" t="s">
        <v>545</v>
      </c>
      <c r="F425" s="1" t="s">
        <v>76</v>
      </c>
      <c r="G425" s="1" t="s">
        <v>93</v>
      </c>
      <c r="H425" s="1" t="s">
        <v>19</v>
      </c>
      <c r="I425" s="1" t="s">
        <v>168</v>
      </c>
      <c r="J425" s="1" t="s">
        <v>169</v>
      </c>
      <c r="K425" s="1" t="str">
        <f>VLOOKUP(J425,'IU Major Match'!$D$2:$E$65,2,FALSE)</f>
        <v>Major Dont exists in IU</v>
      </c>
      <c r="L425" s="1">
        <v>70175573</v>
      </c>
      <c r="M425" s="1" t="s">
        <v>90</v>
      </c>
      <c r="N425" s="11">
        <v>99</v>
      </c>
      <c r="O425" s="11">
        <v>27</v>
      </c>
      <c r="P425" s="11">
        <v>15</v>
      </c>
      <c r="Q425" s="11">
        <v>57</v>
      </c>
      <c r="R425" s="5">
        <f t="shared" si="24"/>
        <v>0.42424242424242425</v>
      </c>
      <c r="S425" s="13" t="str">
        <f t="shared" si="25"/>
        <v>=&lt;50</v>
      </c>
      <c r="T425" s="14">
        <f t="shared" si="26"/>
        <v>4</v>
      </c>
      <c r="U425" s="14">
        <f t="shared" si="27"/>
        <v>2</v>
      </c>
    </row>
    <row r="426" spans="1:21" x14ac:dyDescent="0.25">
      <c r="A426" s="1">
        <v>62410046</v>
      </c>
      <c r="B426" s="1">
        <v>208515</v>
      </c>
      <c r="C426" s="1" t="s">
        <v>898</v>
      </c>
      <c r="D426" s="1" t="s">
        <v>447</v>
      </c>
      <c r="E426" s="1" t="s">
        <v>899</v>
      </c>
      <c r="F426" s="1" t="s">
        <v>76</v>
      </c>
      <c r="G426" s="1" t="s">
        <v>18</v>
      </c>
      <c r="H426" s="1" t="s">
        <v>19</v>
      </c>
      <c r="I426" s="1" t="s">
        <v>245</v>
      </c>
      <c r="J426" s="1" t="s">
        <v>246</v>
      </c>
      <c r="K426" s="1" t="str">
        <f>VLOOKUP(J426,'IU Major Match'!$D$2:$E$65,2,FALSE)</f>
        <v>Major Dont exists in IU</v>
      </c>
      <c r="L426" s="1">
        <v>76311360</v>
      </c>
      <c r="M426" s="1" t="s">
        <v>362</v>
      </c>
      <c r="N426" s="11">
        <v>114</v>
      </c>
      <c r="O426" s="11">
        <v>10</v>
      </c>
      <c r="P426" s="11">
        <v>18</v>
      </c>
      <c r="Q426" s="11">
        <v>80</v>
      </c>
      <c r="R426" s="5">
        <f t="shared" si="24"/>
        <v>0.24561403508771928</v>
      </c>
      <c r="S426" s="13" t="str">
        <f t="shared" si="25"/>
        <v>=&lt;50</v>
      </c>
      <c r="T426" s="14">
        <f t="shared" si="26"/>
        <v>6</v>
      </c>
      <c r="U426" s="14">
        <f t="shared" si="27"/>
        <v>3</v>
      </c>
    </row>
    <row r="427" spans="1:21" x14ac:dyDescent="0.25">
      <c r="A427" s="1">
        <v>62330227</v>
      </c>
      <c r="B427" s="1">
        <v>202667</v>
      </c>
      <c r="C427" s="1" t="s">
        <v>900</v>
      </c>
      <c r="D427" s="1" t="s">
        <v>653</v>
      </c>
      <c r="E427" s="1" t="s">
        <v>901</v>
      </c>
      <c r="F427" s="1" t="s">
        <v>76</v>
      </c>
      <c r="G427" s="1" t="s">
        <v>23</v>
      </c>
      <c r="H427" s="1" t="s">
        <v>19</v>
      </c>
      <c r="I427" s="1" t="s">
        <v>88</v>
      </c>
      <c r="J427" s="1" t="s">
        <v>89</v>
      </c>
      <c r="K427" s="1" t="str">
        <f>VLOOKUP(J427,'IU Major Match'!$D$2:$E$65,2,FALSE)</f>
        <v xml:space="preserve">Major exists in IU </v>
      </c>
      <c r="L427" s="1">
        <v>96171291897</v>
      </c>
      <c r="M427" s="1" t="s">
        <v>90</v>
      </c>
      <c r="N427" s="11">
        <v>99</v>
      </c>
      <c r="O427" s="11">
        <v>42</v>
      </c>
      <c r="P427" s="11">
        <v>12</v>
      </c>
      <c r="Q427" s="11">
        <v>45</v>
      </c>
      <c r="R427" s="5">
        <f t="shared" si="24"/>
        <v>0.54545454545454541</v>
      </c>
      <c r="S427" s="13" t="str">
        <f t="shared" si="25"/>
        <v>&gt;50</v>
      </c>
      <c r="T427" s="14">
        <f t="shared" si="26"/>
        <v>3</v>
      </c>
      <c r="U427" s="14">
        <f t="shared" si="27"/>
        <v>1.5</v>
      </c>
    </row>
    <row r="428" spans="1:21" x14ac:dyDescent="0.25">
      <c r="A428" s="1">
        <v>62230316</v>
      </c>
      <c r="B428" s="1">
        <v>191711</v>
      </c>
      <c r="C428" s="1" t="s">
        <v>902</v>
      </c>
      <c r="D428" s="1" t="s">
        <v>38</v>
      </c>
      <c r="E428" s="1" t="s">
        <v>199</v>
      </c>
      <c r="F428" s="1" t="s">
        <v>76</v>
      </c>
      <c r="G428" s="1" t="s">
        <v>93</v>
      </c>
      <c r="H428" s="1" t="s">
        <v>19</v>
      </c>
      <c r="I428" s="1" t="s">
        <v>94</v>
      </c>
      <c r="J428" s="1" t="s">
        <v>95</v>
      </c>
      <c r="K428" s="1" t="str">
        <f>VLOOKUP(J428,'IU Major Match'!$D$2:$E$65,2,FALSE)</f>
        <v xml:space="preserve">Major exists in IU </v>
      </c>
      <c r="L428" s="1">
        <v>96170316313</v>
      </c>
      <c r="M428" s="1" t="s">
        <v>153</v>
      </c>
      <c r="N428" s="11">
        <v>99</v>
      </c>
      <c r="O428" s="11">
        <v>66</v>
      </c>
      <c r="P428" s="11">
        <v>15</v>
      </c>
      <c r="Q428" s="11">
        <v>18</v>
      </c>
      <c r="R428" s="5">
        <f t="shared" si="24"/>
        <v>0.81818181818181823</v>
      </c>
      <c r="S428" s="13" t="str">
        <f t="shared" si="25"/>
        <v>&gt;50</v>
      </c>
      <c r="T428" s="14">
        <f t="shared" si="26"/>
        <v>2</v>
      </c>
      <c r="U428" s="14">
        <f t="shared" si="27"/>
        <v>1</v>
      </c>
    </row>
    <row r="429" spans="1:21" x14ac:dyDescent="0.25">
      <c r="A429" s="1">
        <v>62530039</v>
      </c>
      <c r="B429" s="1">
        <v>219380</v>
      </c>
      <c r="C429" s="1" t="s">
        <v>903</v>
      </c>
      <c r="D429" s="1" t="s">
        <v>16</v>
      </c>
      <c r="E429" s="1" t="s">
        <v>904</v>
      </c>
      <c r="F429" s="1" t="s">
        <v>76</v>
      </c>
      <c r="G429" s="1" t="s">
        <v>93</v>
      </c>
      <c r="H429" s="1" t="s">
        <v>19</v>
      </c>
      <c r="I429" s="1" t="s">
        <v>124</v>
      </c>
      <c r="J429" s="1" t="s">
        <v>125</v>
      </c>
      <c r="K429" s="1" t="str">
        <f>VLOOKUP(J429,'IU Major Match'!$D$2:$E$65,2,FALSE)</f>
        <v xml:space="preserve">Major exists in IU </v>
      </c>
      <c r="L429" s="1">
        <v>96181093178</v>
      </c>
      <c r="M429" s="1" t="s">
        <v>99</v>
      </c>
      <c r="N429" s="11">
        <v>99</v>
      </c>
      <c r="O429" s="11">
        <v>6</v>
      </c>
      <c r="P429" s="11">
        <v>12</v>
      </c>
      <c r="Q429" s="11">
        <v>81</v>
      </c>
      <c r="R429" s="5">
        <f t="shared" si="24"/>
        <v>0.18181818181818182</v>
      </c>
      <c r="S429" s="13" t="str">
        <f t="shared" si="25"/>
        <v>=&lt;50</v>
      </c>
      <c r="T429" s="14">
        <f t="shared" si="26"/>
        <v>6</v>
      </c>
      <c r="U429" s="14">
        <f t="shared" si="27"/>
        <v>3</v>
      </c>
    </row>
    <row r="430" spans="1:21" x14ac:dyDescent="0.25">
      <c r="A430" s="1">
        <v>62510018</v>
      </c>
      <c r="B430" s="1">
        <v>217791</v>
      </c>
      <c r="C430" s="1" t="s">
        <v>903</v>
      </c>
      <c r="D430" s="1" t="s">
        <v>513</v>
      </c>
      <c r="E430" s="1" t="s">
        <v>905</v>
      </c>
      <c r="F430" s="1" t="s">
        <v>76</v>
      </c>
      <c r="G430" s="1" t="s">
        <v>23</v>
      </c>
      <c r="H430" s="1" t="s">
        <v>19</v>
      </c>
      <c r="I430" s="1" t="s">
        <v>142</v>
      </c>
      <c r="J430" s="1" t="s">
        <v>143</v>
      </c>
      <c r="K430" s="1" t="str">
        <f>VLOOKUP(J430,'IU Major Match'!$D$2:$E$65,2,FALSE)</f>
        <v xml:space="preserve">Major exists in IU </v>
      </c>
      <c r="L430" s="1">
        <v>9614926138</v>
      </c>
      <c r="M430" s="1" t="s">
        <v>242</v>
      </c>
      <c r="N430" s="11">
        <v>99</v>
      </c>
      <c r="O430" s="11">
        <v>18</v>
      </c>
      <c r="P430" s="11">
        <v>9</v>
      </c>
      <c r="Q430" s="11">
        <v>72</v>
      </c>
      <c r="R430" s="5">
        <f t="shared" si="24"/>
        <v>0.27272727272727271</v>
      </c>
      <c r="S430" s="13" t="str">
        <f t="shared" si="25"/>
        <v>=&lt;50</v>
      </c>
      <c r="T430" s="14">
        <f t="shared" si="26"/>
        <v>5</v>
      </c>
      <c r="U430" s="14">
        <f t="shared" si="27"/>
        <v>2.5</v>
      </c>
    </row>
    <row r="431" spans="1:21" x14ac:dyDescent="0.25">
      <c r="A431" s="1">
        <v>62330101</v>
      </c>
      <c r="B431" s="1">
        <v>199825</v>
      </c>
      <c r="C431" s="1" t="s">
        <v>903</v>
      </c>
      <c r="D431" s="1" t="s">
        <v>658</v>
      </c>
      <c r="E431" s="1" t="s">
        <v>906</v>
      </c>
      <c r="F431" s="1" t="s">
        <v>76</v>
      </c>
      <c r="G431" s="1" t="s">
        <v>23</v>
      </c>
      <c r="H431" s="1" t="s">
        <v>19</v>
      </c>
      <c r="I431" s="1" t="s">
        <v>159</v>
      </c>
      <c r="J431" s="1" t="s">
        <v>160</v>
      </c>
      <c r="K431" s="1" t="str">
        <f>VLOOKUP(J431,'IU Major Match'!$D$2:$E$65,2,FALSE)</f>
        <v xml:space="preserve">Major exists in IU </v>
      </c>
      <c r="L431" s="1">
        <v>70342310</v>
      </c>
      <c r="M431" s="1" t="s">
        <v>90</v>
      </c>
      <c r="N431" s="11">
        <v>99</v>
      </c>
      <c r="O431" s="11">
        <v>84</v>
      </c>
      <c r="P431" s="11">
        <v>15</v>
      </c>
      <c r="Q431" s="11">
        <v>0</v>
      </c>
      <c r="R431" s="5">
        <f t="shared" si="24"/>
        <v>1</v>
      </c>
      <c r="S431" s="13" t="str">
        <f t="shared" si="25"/>
        <v>&gt;50</v>
      </c>
      <c r="T431" s="14">
        <f t="shared" si="26"/>
        <v>0</v>
      </c>
      <c r="U431" s="14">
        <f t="shared" si="27"/>
        <v>0</v>
      </c>
    </row>
    <row r="432" spans="1:21" x14ac:dyDescent="0.25">
      <c r="A432" s="1">
        <v>62230371</v>
      </c>
      <c r="B432" s="1">
        <v>192409</v>
      </c>
      <c r="C432" s="1" t="s">
        <v>903</v>
      </c>
      <c r="D432" s="1" t="s">
        <v>49</v>
      </c>
      <c r="E432" s="1" t="s">
        <v>907</v>
      </c>
      <c r="F432" s="1" t="s">
        <v>76</v>
      </c>
      <c r="G432" s="1" t="s">
        <v>93</v>
      </c>
      <c r="H432" s="1" t="s">
        <v>19</v>
      </c>
      <c r="I432" s="1" t="s">
        <v>107</v>
      </c>
      <c r="J432" s="1" t="s">
        <v>108</v>
      </c>
      <c r="K432" s="1" t="str">
        <f>VLOOKUP(J432,'IU Major Match'!$D$2:$E$65,2,FALSE)</f>
        <v xml:space="preserve">Major exists in IU </v>
      </c>
      <c r="L432" s="1">
        <v>71603286</v>
      </c>
      <c r="M432" s="1" t="s">
        <v>153</v>
      </c>
      <c r="N432" s="11">
        <v>99</v>
      </c>
      <c r="O432" s="11">
        <v>66</v>
      </c>
      <c r="P432" s="11">
        <v>18</v>
      </c>
      <c r="Q432" s="11">
        <v>15</v>
      </c>
      <c r="R432" s="5">
        <f t="shared" si="24"/>
        <v>0.84848484848484851</v>
      </c>
      <c r="S432" s="13" t="str">
        <f t="shared" si="25"/>
        <v>&gt;50</v>
      </c>
      <c r="T432" s="14">
        <f t="shared" si="26"/>
        <v>1</v>
      </c>
      <c r="U432" s="14">
        <f t="shared" si="27"/>
        <v>0.5</v>
      </c>
    </row>
    <row r="433" spans="1:21" x14ac:dyDescent="0.25">
      <c r="A433" s="1">
        <v>62230197</v>
      </c>
      <c r="B433" s="1">
        <v>189166</v>
      </c>
      <c r="C433" s="1" t="s">
        <v>903</v>
      </c>
      <c r="D433" s="1" t="s">
        <v>214</v>
      </c>
      <c r="E433" s="1" t="s">
        <v>325</v>
      </c>
      <c r="F433" s="1" t="s">
        <v>76</v>
      </c>
      <c r="G433" s="1" t="s">
        <v>23</v>
      </c>
      <c r="H433" s="1" t="s">
        <v>19</v>
      </c>
      <c r="I433" s="1" t="s">
        <v>360</v>
      </c>
      <c r="J433" s="1" t="s">
        <v>361</v>
      </c>
      <c r="K433" s="1" t="str">
        <f>VLOOKUP(J433,'IU Major Match'!$D$2:$E$65,2,FALSE)</f>
        <v xml:space="preserve">Major exists in IU </v>
      </c>
      <c r="L433" s="1">
        <v>96181862320</v>
      </c>
      <c r="M433" s="1" t="s">
        <v>153</v>
      </c>
      <c r="N433" s="11">
        <v>108</v>
      </c>
      <c r="O433" s="11">
        <v>78</v>
      </c>
      <c r="P433" s="11">
        <v>18</v>
      </c>
      <c r="Q433" s="11">
        <v>12</v>
      </c>
      <c r="R433" s="5">
        <f t="shared" si="24"/>
        <v>0.88888888888888884</v>
      </c>
      <c r="S433" s="13" t="str">
        <f t="shared" si="25"/>
        <v>&gt;50</v>
      </c>
      <c r="T433" s="14">
        <f t="shared" si="26"/>
        <v>1</v>
      </c>
      <c r="U433" s="14">
        <f t="shared" si="27"/>
        <v>0.5</v>
      </c>
    </row>
    <row r="434" spans="1:21" x14ac:dyDescent="0.25">
      <c r="A434" s="1">
        <v>62330131</v>
      </c>
      <c r="B434" s="1">
        <v>200553</v>
      </c>
      <c r="C434" s="1" t="s">
        <v>908</v>
      </c>
      <c r="D434" s="1" t="s">
        <v>92</v>
      </c>
      <c r="E434" s="1" t="s">
        <v>28</v>
      </c>
      <c r="F434" s="1" t="s">
        <v>76</v>
      </c>
      <c r="G434" s="1" t="s">
        <v>93</v>
      </c>
      <c r="H434" s="1" t="s">
        <v>19</v>
      </c>
      <c r="I434" s="1" t="s">
        <v>107</v>
      </c>
      <c r="J434" s="1" t="s">
        <v>108</v>
      </c>
      <c r="K434" s="1" t="str">
        <f>VLOOKUP(J434,'IU Major Match'!$D$2:$E$65,2,FALSE)</f>
        <v xml:space="preserve">Major exists in IU </v>
      </c>
      <c r="L434" s="1">
        <v>96171200278</v>
      </c>
      <c r="M434" s="1" t="s">
        <v>90</v>
      </c>
      <c r="N434" s="11">
        <v>99</v>
      </c>
      <c r="O434" s="11">
        <v>60</v>
      </c>
      <c r="P434" s="11">
        <v>15</v>
      </c>
      <c r="Q434" s="11">
        <v>24</v>
      </c>
      <c r="R434" s="5">
        <f t="shared" si="24"/>
        <v>0.75757575757575757</v>
      </c>
      <c r="S434" s="13" t="str">
        <f t="shared" si="25"/>
        <v>&gt;50</v>
      </c>
      <c r="T434" s="14">
        <f t="shared" si="26"/>
        <v>2</v>
      </c>
      <c r="U434" s="14">
        <f t="shared" si="27"/>
        <v>1</v>
      </c>
    </row>
    <row r="435" spans="1:21" x14ac:dyDescent="0.25">
      <c r="A435" s="1">
        <v>62430048</v>
      </c>
      <c r="B435" s="1">
        <v>209480</v>
      </c>
      <c r="C435" s="1" t="s">
        <v>909</v>
      </c>
      <c r="D435" s="1" t="s">
        <v>16</v>
      </c>
      <c r="E435" s="1" t="s">
        <v>904</v>
      </c>
      <c r="F435" s="1" t="s">
        <v>76</v>
      </c>
      <c r="G435" s="1" t="s">
        <v>93</v>
      </c>
      <c r="H435" s="1" t="s">
        <v>19</v>
      </c>
      <c r="I435" s="1" t="s">
        <v>111</v>
      </c>
      <c r="J435" s="1" t="s">
        <v>112</v>
      </c>
      <c r="K435" s="1" t="str">
        <f>VLOOKUP(J435,'IU Major Match'!$D$2:$E$65,2,FALSE)</f>
        <v xml:space="preserve">Major exists in IU </v>
      </c>
      <c r="L435" s="1">
        <v>96176949510</v>
      </c>
      <c r="M435" s="1" t="s">
        <v>113</v>
      </c>
      <c r="N435" s="11">
        <v>99</v>
      </c>
      <c r="O435" s="11">
        <v>33</v>
      </c>
      <c r="P435" s="11">
        <v>12</v>
      </c>
      <c r="Q435" s="11">
        <v>54</v>
      </c>
      <c r="R435" s="5">
        <f t="shared" si="24"/>
        <v>0.45454545454545453</v>
      </c>
      <c r="S435" s="13" t="str">
        <f t="shared" si="25"/>
        <v>=&lt;50</v>
      </c>
      <c r="T435" s="14">
        <f t="shared" si="26"/>
        <v>4</v>
      </c>
      <c r="U435" s="14">
        <f t="shared" si="27"/>
        <v>2</v>
      </c>
    </row>
    <row r="436" spans="1:21" x14ac:dyDescent="0.25">
      <c r="A436" s="1">
        <v>62530067</v>
      </c>
      <c r="B436" s="1">
        <v>225972</v>
      </c>
      <c r="C436" s="1" t="s">
        <v>909</v>
      </c>
      <c r="D436" s="1" t="s">
        <v>910</v>
      </c>
      <c r="E436" s="1" t="s">
        <v>911</v>
      </c>
      <c r="F436" s="1" t="s">
        <v>76</v>
      </c>
      <c r="G436" s="1" t="s">
        <v>200</v>
      </c>
      <c r="H436" s="1" t="s">
        <v>19</v>
      </c>
      <c r="I436" s="1" t="s">
        <v>201</v>
      </c>
      <c r="J436" s="1" t="s">
        <v>202</v>
      </c>
      <c r="K436" s="1" t="str">
        <f>VLOOKUP(J436,'IU Major Match'!$D$2:$E$65,2,FALSE)</f>
        <v>Major Dont exists in IU</v>
      </c>
      <c r="L436" s="1">
        <v>96171510999</v>
      </c>
      <c r="M436" s="1" t="s">
        <v>99</v>
      </c>
      <c r="N436" s="11">
        <v>65</v>
      </c>
      <c r="O436" s="11">
        <v>39</v>
      </c>
      <c r="P436" s="11">
        <v>15</v>
      </c>
      <c r="Q436" s="11">
        <v>11</v>
      </c>
      <c r="R436" s="5">
        <f t="shared" si="24"/>
        <v>0.83076923076923082</v>
      </c>
      <c r="S436" s="13" t="str">
        <f t="shared" si="25"/>
        <v>&gt;50</v>
      </c>
      <c r="T436" s="14">
        <f t="shared" si="26"/>
        <v>1</v>
      </c>
      <c r="U436" s="14">
        <f t="shared" si="27"/>
        <v>0.5</v>
      </c>
    </row>
    <row r="437" spans="1:21" x14ac:dyDescent="0.25">
      <c r="A437" s="1">
        <v>62530131</v>
      </c>
      <c r="B437" s="1">
        <v>222291</v>
      </c>
      <c r="C437" s="1" t="s">
        <v>909</v>
      </c>
      <c r="D437" s="1" t="s">
        <v>253</v>
      </c>
      <c r="E437" s="1" t="s">
        <v>912</v>
      </c>
      <c r="F437" s="1" t="s">
        <v>76</v>
      </c>
      <c r="G437" s="1" t="s">
        <v>18</v>
      </c>
      <c r="H437" s="1" t="s">
        <v>19</v>
      </c>
      <c r="I437" s="1" t="s">
        <v>171</v>
      </c>
      <c r="J437" s="1" t="s">
        <v>172</v>
      </c>
      <c r="K437" s="1" t="str">
        <f>VLOOKUP(J437,'IU Major Match'!$D$2:$E$65,2,FALSE)</f>
        <v>Can be Transferred to Bachelor of Engineering</v>
      </c>
      <c r="L437" s="1">
        <v>71620816</v>
      </c>
      <c r="M437" s="1" t="s">
        <v>99</v>
      </c>
      <c r="N437" s="11">
        <v>108</v>
      </c>
      <c r="O437" s="11">
        <v>6</v>
      </c>
      <c r="P437" s="11">
        <v>14</v>
      </c>
      <c r="Q437" s="11">
        <v>92</v>
      </c>
      <c r="R437" s="5">
        <f t="shared" si="24"/>
        <v>0.18518518518518517</v>
      </c>
      <c r="S437" s="13" t="str">
        <f t="shared" si="25"/>
        <v>=&lt;50</v>
      </c>
      <c r="T437" s="14">
        <f t="shared" si="26"/>
        <v>7</v>
      </c>
      <c r="U437" s="14">
        <f t="shared" si="27"/>
        <v>3.5</v>
      </c>
    </row>
    <row r="438" spans="1:21" x14ac:dyDescent="0.25">
      <c r="A438" s="1">
        <v>62330138</v>
      </c>
      <c r="B438" s="1">
        <v>200554</v>
      </c>
      <c r="C438" s="1" t="s">
        <v>913</v>
      </c>
      <c r="D438" s="1" t="s">
        <v>325</v>
      </c>
      <c r="E438" s="1" t="s">
        <v>914</v>
      </c>
      <c r="F438" s="1" t="s">
        <v>76</v>
      </c>
      <c r="G438" s="1" t="s">
        <v>23</v>
      </c>
      <c r="H438" s="1" t="s">
        <v>19</v>
      </c>
      <c r="I438" s="1" t="s">
        <v>103</v>
      </c>
      <c r="J438" s="1" t="s">
        <v>104</v>
      </c>
      <c r="K438" s="1" t="str">
        <f>VLOOKUP(J438,'IU Major Match'!$D$2:$E$65,2,FALSE)</f>
        <v xml:space="preserve">Major exists in IU </v>
      </c>
      <c r="L438" s="1">
        <v>96181712475</v>
      </c>
      <c r="M438" s="1" t="s">
        <v>90</v>
      </c>
      <c r="N438" s="11">
        <v>100</v>
      </c>
      <c r="O438" s="11">
        <v>87</v>
      </c>
      <c r="P438" s="11">
        <v>16</v>
      </c>
      <c r="Q438" s="11">
        <v>0</v>
      </c>
      <c r="R438" s="5">
        <f t="shared" si="24"/>
        <v>1.03</v>
      </c>
      <c r="S438" s="13" t="str">
        <f t="shared" si="25"/>
        <v>&gt;50</v>
      </c>
      <c r="T438" s="14">
        <f t="shared" si="26"/>
        <v>0</v>
      </c>
      <c r="U438" s="14">
        <f t="shared" si="27"/>
        <v>0</v>
      </c>
    </row>
    <row r="439" spans="1:21" x14ac:dyDescent="0.25">
      <c r="A439" s="1">
        <v>62430088</v>
      </c>
      <c r="B439" s="1">
        <v>211361</v>
      </c>
      <c r="C439" s="1" t="s">
        <v>915</v>
      </c>
      <c r="D439" s="1" t="s">
        <v>21</v>
      </c>
      <c r="E439" s="1" t="s">
        <v>204</v>
      </c>
      <c r="F439" s="1" t="s">
        <v>76</v>
      </c>
      <c r="G439" s="1" t="s">
        <v>23</v>
      </c>
      <c r="H439" s="1" t="s">
        <v>19</v>
      </c>
      <c r="I439" s="1" t="s">
        <v>151</v>
      </c>
      <c r="J439" s="1" t="s">
        <v>152</v>
      </c>
      <c r="K439" s="1" t="str">
        <f>VLOOKUP(J439,'IU Major Match'!$D$2:$E$65,2,FALSE)</f>
        <v>Major Dont exists in IU</v>
      </c>
      <c r="L439" s="1">
        <v>71899025</v>
      </c>
      <c r="M439" s="1" t="s">
        <v>113</v>
      </c>
      <c r="N439" s="11">
        <v>105</v>
      </c>
      <c r="O439" s="11">
        <v>86</v>
      </c>
      <c r="P439" s="11">
        <v>9</v>
      </c>
      <c r="Q439" s="11">
        <v>10</v>
      </c>
      <c r="R439" s="5">
        <f t="shared" si="24"/>
        <v>0.90476190476190477</v>
      </c>
      <c r="S439" s="13" t="str">
        <f t="shared" si="25"/>
        <v>&gt;50</v>
      </c>
      <c r="T439" s="14">
        <f t="shared" si="26"/>
        <v>1</v>
      </c>
      <c r="U439" s="14">
        <f t="shared" si="27"/>
        <v>0.5</v>
      </c>
    </row>
    <row r="440" spans="1:21" x14ac:dyDescent="0.25">
      <c r="A440" s="1">
        <v>62230200</v>
      </c>
      <c r="B440" s="1">
        <v>188118</v>
      </c>
      <c r="C440" s="1" t="s">
        <v>54</v>
      </c>
      <c r="D440" s="1" t="s">
        <v>21</v>
      </c>
      <c r="E440" s="1" t="s">
        <v>916</v>
      </c>
      <c r="F440" s="1" t="s">
        <v>76</v>
      </c>
      <c r="G440" s="1" t="s">
        <v>93</v>
      </c>
      <c r="H440" s="1" t="s">
        <v>19</v>
      </c>
      <c r="I440" s="1" t="s">
        <v>133</v>
      </c>
      <c r="J440" s="1" t="s">
        <v>134</v>
      </c>
      <c r="K440" s="1" t="str">
        <f>VLOOKUP(J440,'IU Major Match'!$D$2:$E$65,2,FALSE)</f>
        <v xml:space="preserve">Major exists in IU </v>
      </c>
      <c r="L440" s="1">
        <v>76345740</v>
      </c>
      <c r="M440" s="1" t="s">
        <v>153</v>
      </c>
      <c r="N440" s="11">
        <v>99</v>
      </c>
      <c r="O440" s="11">
        <v>84</v>
      </c>
      <c r="P440" s="11">
        <v>15</v>
      </c>
      <c r="Q440" s="11">
        <v>0</v>
      </c>
      <c r="R440" s="5">
        <f t="shared" si="24"/>
        <v>1</v>
      </c>
      <c r="S440" s="13" t="str">
        <f t="shared" si="25"/>
        <v>&gt;50</v>
      </c>
      <c r="T440" s="14">
        <f t="shared" si="26"/>
        <v>0</v>
      </c>
      <c r="U440" s="14">
        <f t="shared" si="27"/>
        <v>0</v>
      </c>
    </row>
    <row r="441" spans="1:21" x14ac:dyDescent="0.25">
      <c r="A441" s="1">
        <v>62210079</v>
      </c>
      <c r="B441" s="1">
        <v>183747</v>
      </c>
      <c r="C441" s="1" t="s">
        <v>416</v>
      </c>
      <c r="D441" s="1" t="s">
        <v>917</v>
      </c>
      <c r="E441" s="1" t="s">
        <v>918</v>
      </c>
      <c r="F441" s="1" t="s">
        <v>76</v>
      </c>
      <c r="G441" s="1" t="s">
        <v>93</v>
      </c>
      <c r="H441" s="1" t="s">
        <v>19</v>
      </c>
      <c r="I441" s="1" t="s">
        <v>320</v>
      </c>
      <c r="J441" s="1" t="s">
        <v>321</v>
      </c>
      <c r="K441" s="1" t="str">
        <f>VLOOKUP(J441,'IU Major Match'!$D$2:$E$65,2,FALSE)</f>
        <v xml:space="preserve">Major exists in IU </v>
      </c>
      <c r="L441" s="1">
        <v>71179424</v>
      </c>
      <c r="M441" s="1" t="s">
        <v>387</v>
      </c>
      <c r="N441" s="11">
        <v>99</v>
      </c>
      <c r="O441" s="11">
        <v>72</v>
      </c>
      <c r="P441" s="11">
        <v>15</v>
      </c>
      <c r="Q441" s="11">
        <v>12</v>
      </c>
      <c r="R441" s="5">
        <f t="shared" si="24"/>
        <v>0.87878787878787878</v>
      </c>
      <c r="S441" s="13" t="str">
        <f t="shared" si="25"/>
        <v>&gt;50</v>
      </c>
      <c r="T441" s="14">
        <f t="shared" si="26"/>
        <v>1</v>
      </c>
      <c r="U441" s="14">
        <f t="shared" si="27"/>
        <v>0.5</v>
      </c>
    </row>
    <row r="442" spans="1:21" x14ac:dyDescent="0.25">
      <c r="A442" s="1">
        <v>62610009</v>
      </c>
      <c r="B442" s="1">
        <v>227144</v>
      </c>
      <c r="C442" s="1" t="s">
        <v>70</v>
      </c>
      <c r="D442" s="1" t="s">
        <v>21</v>
      </c>
      <c r="E442" s="1" t="s">
        <v>919</v>
      </c>
      <c r="F442" s="1" t="s">
        <v>76</v>
      </c>
      <c r="G442" s="1" t="s">
        <v>23</v>
      </c>
      <c r="H442" s="1" t="s">
        <v>19</v>
      </c>
      <c r="I442" s="1" t="s">
        <v>397</v>
      </c>
      <c r="J442" s="1" t="s">
        <v>398</v>
      </c>
      <c r="K442" s="1" t="str">
        <f>VLOOKUP(J442,'IU Major Match'!$D$2:$E$65,2,FALSE)</f>
        <v xml:space="preserve">Major exists in IU </v>
      </c>
      <c r="L442" s="1">
        <v>96176670845</v>
      </c>
      <c r="M442" s="1" t="s">
        <v>84</v>
      </c>
      <c r="N442" s="11">
        <v>99</v>
      </c>
      <c r="O442" s="11">
        <v>0</v>
      </c>
      <c r="P442" s="11">
        <v>11</v>
      </c>
      <c r="Q442" s="11">
        <v>104</v>
      </c>
      <c r="R442" s="5">
        <f t="shared" si="24"/>
        <v>0.1111111111111111</v>
      </c>
      <c r="S442" s="13" t="str">
        <f t="shared" si="25"/>
        <v>=&lt;50</v>
      </c>
      <c r="T442" s="14">
        <f t="shared" si="26"/>
        <v>7</v>
      </c>
      <c r="U442" s="14">
        <f t="shared" si="27"/>
        <v>3.5</v>
      </c>
    </row>
    <row r="443" spans="1:21" x14ac:dyDescent="0.25">
      <c r="A443" s="1">
        <v>62530076</v>
      </c>
      <c r="B443" s="1">
        <v>219785</v>
      </c>
      <c r="C443" s="1" t="s">
        <v>920</v>
      </c>
      <c r="D443" s="1" t="s">
        <v>231</v>
      </c>
      <c r="E443" s="1" t="s">
        <v>921</v>
      </c>
      <c r="F443" s="1" t="s">
        <v>76</v>
      </c>
      <c r="G443" s="1" t="s">
        <v>23</v>
      </c>
      <c r="H443" s="1" t="s">
        <v>19</v>
      </c>
      <c r="I443" s="1" t="s">
        <v>397</v>
      </c>
      <c r="J443" s="1" t="s">
        <v>398</v>
      </c>
      <c r="K443" s="1" t="str">
        <f>VLOOKUP(J443,'IU Major Match'!$D$2:$E$65,2,FALSE)</f>
        <v xml:space="preserve">Major exists in IU </v>
      </c>
      <c r="L443" s="1">
        <v>9613055627</v>
      </c>
      <c r="M443" s="1" t="s">
        <v>99</v>
      </c>
      <c r="N443" s="11">
        <v>99</v>
      </c>
      <c r="O443" s="11">
        <v>0</v>
      </c>
      <c r="P443" s="11">
        <v>13</v>
      </c>
      <c r="Q443" s="11">
        <v>91</v>
      </c>
      <c r="R443" s="5">
        <f t="shared" si="24"/>
        <v>0.13131313131313133</v>
      </c>
      <c r="S443" s="13" t="str">
        <f t="shared" si="25"/>
        <v>=&lt;50</v>
      </c>
      <c r="T443" s="14">
        <f t="shared" si="26"/>
        <v>7</v>
      </c>
      <c r="U443" s="14">
        <f t="shared" si="27"/>
        <v>3.5</v>
      </c>
    </row>
    <row r="444" spans="1:21" x14ac:dyDescent="0.25">
      <c r="A444" s="1">
        <v>62330242</v>
      </c>
      <c r="B444" s="1">
        <v>203687</v>
      </c>
      <c r="C444" s="1" t="s">
        <v>922</v>
      </c>
      <c r="D444" s="1" t="s">
        <v>367</v>
      </c>
      <c r="E444" s="1" t="s">
        <v>923</v>
      </c>
      <c r="F444" s="1" t="s">
        <v>76</v>
      </c>
      <c r="G444" s="1" t="s">
        <v>93</v>
      </c>
      <c r="H444" s="1" t="s">
        <v>19</v>
      </c>
      <c r="I444" s="1" t="s">
        <v>107</v>
      </c>
      <c r="J444" s="1" t="s">
        <v>108</v>
      </c>
      <c r="K444" s="1" t="str">
        <f>VLOOKUP(J444,'IU Major Match'!$D$2:$E$65,2,FALSE)</f>
        <v xml:space="preserve">Major exists in IU </v>
      </c>
      <c r="L444" s="1">
        <v>81252382</v>
      </c>
      <c r="M444" s="1" t="s">
        <v>90</v>
      </c>
      <c r="N444" s="11">
        <v>99</v>
      </c>
      <c r="O444" s="11">
        <v>69</v>
      </c>
      <c r="P444" s="11">
        <v>15</v>
      </c>
      <c r="Q444" s="11">
        <v>15</v>
      </c>
      <c r="R444" s="5">
        <f t="shared" si="24"/>
        <v>0.84848484848484851</v>
      </c>
      <c r="S444" s="13" t="str">
        <f t="shared" si="25"/>
        <v>&gt;50</v>
      </c>
      <c r="T444" s="14">
        <f t="shared" si="26"/>
        <v>1</v>
      </c>
      <c r="U444" s="14">
        <f t="shared" si="27"/>
        <v>0.5</v>
      </c>
    </row>
    <row r="445" spans="1:21" x14ac:dyDescent="0.25">
      <c r="A445" s="1">
        <v>62430129</v>
      </c>
      <c r="B445" s="1">
        <v>210673</v>
      </c>
      <c r="C445" s="1" t="s">
        <v>922</v>
      </c>
      <c r="D445" s="1" t="s">
        <v>198</v>
      </c>
      <c r="E445" s="1" t="s">
        <v>924</v>
      </c>
      <c r="F445" s="1" t="s">
        <v>76</v>
      </c>
      <c r="G445" s="1" t="s">
        <v>18</v>
      </c>
      <c r="H445" s="1" t="s">
        <v>19</v>
      </c>
      <c r="I445" s="1" t="s">
        <v>164</v>
      </c>
      <c r="J445" s="1" t="s">
        <v>165</v>
      </c>
      <c r="K445" s="1" t="str">
        <f>VLOOKUP(J445,'IU Major Match'!$D$2:$E$65,2,FALSE)</f>
        <v>Can be Transferred to Bachelor of Engineering</v>
      </c>
      <c r="L445" s="1">
        <v>81383762</v>
      </c>
      <c r="M445" s="1" t="s">
        <v>113</v>
      </c>
      <c r="N445" s="11">
        <v>108</v>
      </c>
      <c r="O445" s="11">
        <v>41</v>
      </c>
      <c r="P445" s="11">
        <v>12</v>
      </c>
      <c r="Q445" s="11">
        <v>55</v>
      </c>
      <c r="R445" s="5">
        <f t="shared" si="24"/>
        <v>0.49074074074074076</v>
      </c>
      <c r="S445" s="13" t="str">
        <f t="shared" si="25"/>
        <v>=&lt;50</v>
      </c>
      <c r="T445" s="14">
        <f t="shared" si="26"/>
        <v>4</v>
      </c>
      <c r="U445" s="14">
        <f t="shared" si="27"/>
        <v>2</v>
      </c>
    </row>
    <row r="446" spans="1:21" x14ac:dyDescent="0.25">
      <c r="A446" s="1">
        <v>62510052</v>
      </c>
      <c r="B446" s="1">
        <v>218399</v>
      </c>
      <c r="C446" s="1" t="s">
        <v>922</v>
      </c>
      <c r="D446" s="1" t="s">
        <v>255</v>
      </c>
      <c r="E446" s="1" t="s">
        <v>236</v>
      </c>
      <c r="F446" s="1" t="s">
        <v>76</v>
      </c>
      <c r="G446" s="1" t="s">
        <v>18</v>
      </c>
      <c r="H446" s="1" t="s">
        <v>19</v>
      </c>
      <c r="I446" s="1" t="s">
        <v>82</v>
      </c>
      <c r="J446" s="1" t="s">
        <v>83</v>
      </c>
      <c r="K446" s="1" t="str">
        <f>VLOOKUP(J446,'IU Major Match'!$D$2:$E$65,2,FALSE)</f>
        <v>Can be Transferred to Bachelor of Engineering</v>
      </c>
      <c r="L446" s="1">
        <v>3384259</v>
      </c>
      <c r="M446" s="1" t="s">
        <v>242</v>
      </c>
      <c r="N446" s="11">
        <v>108</v>
      </c>
      <c r="O446" s="11">
        <v>18</v>
      </c>
      <c r="P446" s="11">
        <v>16</v>
      </c>
      <c r="Q446" s="11">
        <v>74</v>
      </c>
      <c r="R446" s="5">
        <f t="shared" si="24"/>
        <v>0.31481481481481483</v>
      </c>
      <c r="S446" s="13" t="str">
        <f t="shared" si="25"/>
        <v>=&lt;50</v>
      </c>
      <c r="T446" s="14">
        <f t="shared" si="26"/>
        <v>5</v>
      </c>
      <c r="U446" s="14">
        <f t="shared" si="27"/>
        <v>2.5</v>
      </c>
    </row>
    <row r="447" spans="1:21" x14ac:dyDescent="0.25">
      <c r="A447" s="1">
        <v>62430114</v>
      </c>
      <c r="B447" s="1">
        <v>210643</v>
      </c>
      <c r="C447" s="1" t="s">
        <v>922</v>
      </c>
      <c r="D447" s="1" t="s">
        <v>35</v>
      </c>
      <c r="E447" s="1" t="s">
        <v>766</v>
      </c>
      <c r="F447" s="1" t="s">
        <v>76</v>
      </c>
      <c r="G447" s="1" t="s">
        <v>93</v>
      </c>
      <c r="H447" s="1" t="s">
        <v>19</v>
      </c>
      <c r="I447" s="1" t="s">
        <v>94</v>
      </c>
      <c r="J447" s="1" t="s">
        <v>95</v>
      </c>
      <c r="K447" s="1" t="str">
        <f>VLOOKUP(J447,'IU Major Match'!$D$2:$E$65,2,FALSE)</f>
        <v xml:space="preserve">Major exists in IU </v>
      </c>
      <c r="L447" s="1">
        <v>79168890</v>
      </c>
      <c r="M447" s="1" t="s">
        <v>113</v>
      </c>
      <c r="N447" s="11">
        <v>99</v>
      </c>
      <c r="O447" s="11">
        <v>45</v>
      </c>
      <c r="P447" s="11">
        <v>18</v>
      </c>
      <c r="Q447" s="11">
        <v>36</v>
      </c>
      <c r="R447" s="5">
        <f t="shared" si="24"/>
        <v>0.63636363636363635</v>
      </c>
      <c r="S447" s="13" t="str">
        <f t="shared" si="25"/>
        <v>&gt;50</v>
      </c>
      <c r="T447" s="14">
        <f t="shared" si="26"/>
        <v>3</v>
      </c>
      <c r="U447" s="14">
        <f t="shared" si="27"/>
        <v>1.5</v>
      </c>
    </row>
    <row r="448" spans="1:21" x14ac:dyDescent="0.25">
      <c r="A448" s="1">
        <v>62230159</v>
      </c>
      <c r="B448" s="1">
        <v>189108</v>
      </c>
      <c r="C448" s="1" t="s">
        <v>922</v>
      </c>
      <c r="D448" s="1" t="s">
        <v>336</v>
      </c>
      <c r="E448" s="1" t="s">
        <v>925</v>
      </c>
      <c r="F448" s="1" t="s">
        <v>76</v>
      </c>
      <c r="G448" s="1" t="s">
        <v>93</v>
      </c>
      <c r="H448" s="1" t="s">
        <v>19</v>
      </c>
      <c r="I448" s="1" t="s">
        <v>107</v>
      </c>
      <c r="J448" s="1" t="s">
        <v>108</v>
      </c>
      <c r="K448" s="1" t="str">
        <f>VLOOKUP(J448,'IU Major Match'!$D$2:$E$65,2,FALSE)</f>
        <v xml:space="preserve">Major exists in IU </v>
      </c>
      <c r="L448" s="1">
        <v>76559337</v>
      </c>
      <c r="M448" s="1" t="s">
        <v>153</v>
      </c>
      <c r="N448" s="11">
        <v>99</v>
      </c>
      <c r="O448" s="11">
        <v>87</v>
      </c>
      <c r="P448" s="11">
        <v>12</v>
      </c>
      <c r="Q448" s="11">
        <v>0</v>
      </c>
      <c r="R448" s="5">
        <f t="shared" si="24"/>
        <v>1</v>
      </c>
      <c r="S448" s="13" t="str">
        <f t="shared" si="25"/>
        <v>&gt;50</v>
      </c>
      <c r="T448" s="14">
        <f t="shared" si="26"/>
        <v>0</v>
      </c>
      <c r="U448" s="14">
        <f t="shared" si="27"/>
        <v>0</v>
      </c>
    </row>
    <row r="449" spans="1:21" x14ac:dyDescent="0.25">
      <c r="A449" s="1">
        <v>61630286</v>
      </c>
      <c r="B449" s="1">
        <v>227747</v>
      </c>
      <c r="C449" s="1" t="s">
        <v>926</v>
      </c>
      <c r="D449" s="1" t="s">
        <v>927</v>
      </c>
      <c r="E449" s="1" t="s">
        <v>928</v>
      </c>
      <c r="F449" s="1" t="s">
        <v>76</v>
      </c>
      <c r="G449" s="1" t="s">
        <v>93</v>
      </c>
      <c r="H449" s="1" t="s">
        <v>19</v>
      </c>
      <c r="I449" s="1" t="s">
        <v>216</v>
      </c>
      <c r="J449" s="1" t="s">
        <v>217</v>
      </c>
      <c r="K449" s="1" t="str">
        <f>VLOOKUP(J449,'IU Major Match'!$D$2:$E$65,2,FALSE)</f>
        <v xml:space="preserve">Major exists in IU </v>
      </c>
      <c r="L449" s="1">
        <v>71948327</v>
      </c>
      <c r="M449" s="1" t="s">
        <v>84</v>
      </c>
      <c r="N449" s="11">
        <v>99</v>
      </c>
      <c r="O449" s="11">
        <v>0</v>
      </c>
      <c r="P449" s="11">
        <v>9</v>
      </c>
      <c r="Q449" s="11">
        <v>0</v>
      </c>
      <c r="R449" s="5">
        <f t="shared" si="24"/>
        <v>9.0909090909090912E-2</v>
      </c>
      <c r="S449" s="13" t="str">
        <f t="shared" si="25"/>
        <v>=&lt;50</v>
      </c>
      <c r="T449" s="14">
        <f t="shared" si="26"/>
        <v>0</v>
      </c>
      <c r="U449" s="14">
        <f t="shared" si="27"/>
        <v>0</v>
      </c>
    </row>
    <row r="450" spans="1:21" x14ac:dyDescent="0.25">
      <c r="A450" s="1">
        <v>62230404</v>
      </c>
      <c r="B450" s="1">
        <v>215594</v>
      </c>
      <c r="C450" s="1" t="s">
        <v>929</v>
      </c>
      <c r="D450" s="1" t="s">
        <v>930</v>
      </c>
      <c r="E450" s="1" t="s">
        <v>931</v>
      </c>
      <c r="F450" s="1" t="s">
        <v>76</v>
      </c>
      <c r="G450" s="1" t="s">
        <v>23</v>
      </c>
      <c r="H450" s="1" t="s">
        <v>19</v>
      </c>
      <c r="I450" s="1" t="s">
        <v>360</v>
      </c>
      <c r="J450" s="1" t="s">
        <v>361</v>
      </c>
      <c r="K450" s="1" t="str">
        <f>VLOOKUP(J450,'IU Major Match'!$D$2:$E$65,2,FALSE)</f>
        <v xml:space="preserve">Major exists in IU </v>
      </c>
      <c r="L450" s="1">
        <v>70491075</v>
      </c>
      <c r="M450" s="1" t="s">
        <v>113</v>
      </c>
      <c r="N450" s="11">
        <v>108</v>
      </c>
      <c r="O450" s="11">
        <v>48</v>
      </c>
      <c r="P450" s="11">
        <v>18</v>
      </c>
      <c r="Q450" s="11">
        <v>42</v>
      </c>
      <c r="R450" s="5">
        <f t="shared" si="24"/>
        <v>0.61111111111111116</v>
      </c>
      <c r="S450" s="13" t="str">
        <f t="shared" si="25"/>
        <v>&gt;50</v>
      </c>
      <c r="T450" s="14">
        <f t="shared" si="26"/>
        <v>3</v>
      </c>
      <c r="U450" s="14">
        <f t="shared" si="27"/>
        <v>1.5</v>
      </c>
    </row>
    <row r="451" spans="1:21" x14ac:dyDescent="0.25">
      <c r="A451" s="1">
        <v>62130451</v>
      </c>
      <c r="B451" s="1">
        <v>178969</v>
      </c>
      <c r="C451" s="1" t="s">
        <v>932</v>
      </c>
      <c r="D451" s="1" t="s">
        <v>617</v>
      </c>
      <c r="E451" s="1" t="s">
        <v>933</v>
      </c>
      <c r="F451" s="1" t="s">
        <v>76</v>
      </c>
      <c r="G451" s="1" t="s">
        <v>23</v>
      </c>
      <c r="H451" s="1" t="s">
        <v>19</v>
      </c>
      <c r="I451" s="1" t="s">
        <v>142</v>
      </c>
      <c r="J451" s="1" t="s">
        <v>143</v>
      </c>
      <c r="K451" s="1" t="str">
        <f>VLOOKUP(J451,'IU Major Match'!$D$2:$E$65,2,FALSE)</f>
        <v xml:space="preserve">Major exists in IU </v>
      </c>
      <c r="L451" s="1">
        <v>96176570007</v>
      </c>
      <c r="M451" s="1" t="s">
        <v>79</v>
      </c>
      <c r="N451" s="11">
        <v>99</v>
      </c>
      <c r="O451" s="11">
        <v>12</v>
      </c>
      <c r="P451" s="11">
        <v>15</v>
      </c>
      <c r="Q451" s="11">
        <v>72</v>
      </c>
      <c r="R451" s="5">
        <f t="shared" ref="R451:R514" si="28">(O451+P451)/N451</f>
        <v>0.27272727272727271</v>
      </c>
      <c r="S451" s="13" t="str">
        <f t="shared" ref="S451:S514" si="29">IF(R451&lt;=50%,"=&lt;50","&gt;50")</f>
        <v>=&lt;50</v>
      </c>
      <c r="T451" s="14">
        <f t="shared" ref="T451:T514" si="30">ROUNDUP(Q451/15,0)</f>
        <v>5</v>
      </c>
      <c r="U451" s="14">
        <f t="shared" ref="U451:U514" si="31">T451/2</f>
        <v>2.5</v>
      </c>
    </row>
    <row r="452" spans="1:21" x14ac:dyDescent="0.25">
      <c r="A452" s="1">
        <v>62430034</v>
      </c>
      <c r="B452" s="1">
        <v>209481</v>
      </c>
      <c r="C452" s="1" t="s">
        <v>934</v>
      </c>
      <c r="D452" s="1" t="s">
        <v>38</v>
      </c>
      <c r="E452" s="1" t="s">
        <v>34</v>
      </c>
      <c r="F452" s="1" t="s">
        <v>76</v>
      </c>
      <c r="G452" s="1" t="s">
        <v>93</v>
      </c>
      <c r="H452" s="1" t="s">
        <v>19</v>
      </c>
      <c r="I452" s="1" t="s">
        <v>168</v>
      </c>
      <c r="J452" s="1" t="s">
        <v>169</v>
      </c>
      <c r="K452" s="1" t="str">
        <f>VLOOKUP(J452,'IU Major Match'!$D$2:$E$65,2,FALSE)</f>
        <v>Major Dont exists in IU</v>
      </c>
      <c r="L452" s="1">
        <v>76510950</v>
      </c>
      <c r="M452" s="1" t="s">
        <v>113</v>
      </c>
      <c r="N452" s="11">
        <v>99</v>
      </c>
      <c r="O452" s="11">
        <v>27</v>
      </c>
      <c r="P452" s="11">
        <v>12</v>
      </c>
      <c r="Q452" s="11">
        <v>60</v>
      </c>
      <c r="R452" s="5">
        <f t="shared" si="28"/>
        <v>0.39393939393939392</v>
      </c>
      <c r="S452" s="13" t="str">
        <f t="shared" si="29"/>
        <v>=&lt;50</v>
      </c>
      <c r="T452" s="14">
        <f t="shared" si="30"/>
        <v>4</v>
      </c>
      <c r="U452" s="14">
        <f t="shared" si="31"/>
        <v>2</v>
      </c>
    </row>
    <row r="453" spans="1:21" x14ac:dyDescent="0.25">
      <c r="A453" s="1">
        <v>62430302</v>
      </c>
      <c r="B453" s="1">
        <v>216376</v>
      </c>
      <c r="C453" s="1" t="s">
        <v>934</v>
      </c>
      <c r="D453" s="1" t="s">
        <v>537</v>
      </c>
      <c r="E453" s="1" t="s">
        <v>45</v>
      </c>
      <c r="F453" s="1" t="s">
        <v>76</v>
      </c>
      <c r="G453" s="1" t="s">
        <v>93</v>
      </c>
      <c r="H453" s="1" t="s">
        <v>19</v>
      </c>
      <c r="I453" s="1" t="s">
        <v>107</v>
      </c>
      <c r="J453" s="1" t="s">
        <v>108</v>
      </c>
      <c r="K453" s="1" t="str">
        <f>VLOOKUP(J453,'IU Major Match'!$D$2:$E$65,2,FALSE)</f>
        <v xml:space="preserve">Major exists in IU </v>
      </c>
      <c r="L453" s="1">
        <v>70458604</v>
      </c>
      <c r="M453" s="1" t="s">
        <v>113</v>
      </c>
      <c r="N453" s="11">
        <v>99</v>
      </c>
      <c r="O453" s="11">
        <v>3</v>
      </c>
      <c r="P453" s="11">
        <v>9</v>
      </c>
      <c r="Q453" s="11">
        <v>90</v>
      </c>
      <c r="R453" s="5">
        <f t="shared" si="28"/>
        <v>0.12121212121212122</v>
      </c>
      <c r="S453" s="13" t="str">
        <f t="shared" si="29"/>
        <v>=&lt;50</v>
      </c>
      <c r="T453" s="14">
        <f t="shared" si="30"/>
        <v>6</v>
      </c>
      <c r="U453" s="14">
        <f t="shared" si="31"/>
        <v>3</v>
      </c>
    </row>
    <row r="454" spans="1:21" x14ac:dyDescent="0.25">
      <c r="A454" s="1">
        <v>62230150</v>
      </c>
      <c r="B454" s="1">
        <v>187257</v>
      </c>
      <c r="C454" s="1" t="s">
        <v>934</v>
      </c>
      <c r="D454" s="1" t="s">
        <v>131</v>
      </c>
      <c r="E454" s="1" t="s">
        <v>283</v>
      </c>
      <c r="F454" s="1" t="s">
        <v>76</v>
      </c>
      <c r="G454" s="1" t="s">
        <v>23</v>
      </c>
      <c r="H454" s="1" t="s">
        <v>19</v>
      </c>
      <c r="I454" s="1" t="s">
        <v>103</v>
      </c>
      <c r="J454" s="1" t="s">
        <v>104</v>
      </c>
      <c r="K454" s="1" t="str">
        <f>VLOOKUP(J454,'IU Major Match'!$D$2:$E$65,2,FALSE)</f>
        <v xml:space="preserve">Major exists in IU </v>
      </c>
      <c r="L454" s="1">
        <v>81675316</v>
      </c>
      <c r="M454" s="1" t="s">
        <v>153</v>
      </c>
      <c r="N454" s="11">
        <v>100</v>
      </c>
      <c r="O454" s="11">
        <v>37</v>
      </c>
      <c r="P454" s="11">
        <v>10</v>
      </c>
      <c r="Q454" s="11">
        <v>53</v>
      </c>
      <c r="R454" s="5">
        <f t="shared" si="28"/>
        <v>0.47</v>
      </c>
      <c r="S454" s="13" t="str">
        <f t="shared" si="29"/>
        <v>=&lt;50</v>
      </c>
      <c r="T454" s="14">
        <f t="shared" si="30"/>
        <v>4</v>
      </c>
      <c r="U454" s="14">
        <f t="shared" si="31"/>
        <v>2</v>
      </c>
    </row>
    <row r="455" spans="1:21" x14ac:dyDescent="0.25">
      <c r="A455" s="1">
        <v>62030073</v>
      </c>
      <c r="B455" s="1">
        <v>152628</v>
      </c>
      <c r="C455" s="1" t="s">
        <v>934</v>
      </c>
      <c r="D455" s="1" t="s">
        <v>131</v>
      </c>
      <c r="E455" s="1" t="s">
        <v>935</v>
      </c>
      <c r="F455" s="1" t="s">
        <v>76</v>
      </c>
      <c r="G455" s="1" t="s">
        <v>18</v>
      </c>
      <c r="H455" s="1" t="s">
        <v>19</v>
      </c>
      <c r="I455" s="1" t="s">
        <v>82</v>
      </c>
      <c r="J455" s="1" t="s">
        <v>83</v>
      </c>
      <c r="K455" s="1" t="str">
        <f>VLOOKUP(J455,'IU Major Match'!$D$2:$E$65,2,FALSE)</f>
        <v>Can be Transferred to Bachelor of Engineering</v>
      </c>
      <c r="L455" s="1">
        <v>81284350</v>
      </c>
      <c r="M455" s="1" t="s">
        <v>51</v>
      </c>
      <c r="N455" s="11">
        <v>108</v>
      </c>
      <c r="O455" s="11">
        <v>90</v>
      </c>
      <c r="P455" s="11">
        <v>18</v>
      </c>
      <c r="Q455" s="11">
        <v>0</v>
      </c>
      <c r="R455" s="5">
        <f t="shared" si="28"/>
        <v>1</v>
      </c>
      <c r="S455" s="13" t="str">
        <f t="shared" si="29"/>
        <v>&gt;50</v>
      </c>
      <c r="T455" s="14">
        <f t="shared" si="30"/>
        <v>0</v>
      </c>
      <c r="U455" s="14">
        <f t="shared" si="31"/>
        <v>0</v>
      </c>
    </row>
    <row r="456" spans="1:21" x14ac:dyDescent="0.25">
      <c r="A456" s="1">
        <v>62530187</v>
      </c>
      <c r="B456" s="1">
        <v>223970</v>
      </c>
      <c r="C456" s="1" t="s">
        <v>934</v>
      </c>
      <c r="D456" s="1" t="s">
        <v>521</v>
      </c>
      <c r="E456" s="1" t="s">
        <v>399</v>
      </c>
      <c r="F456" s="1" t="s">
        <v>76</v>
      </c>
      <c r="G456" s="1" t="s">
        <v>18</v>
      </c>
      <c r="H456" s="1" t="s">
        <v>19</v>
      </c>
      <c r="I456" s="1" t="s">
        <v>302</v>
      </c>
      <c r="J456" s="1" t="s">
        <v>303</v>
      </c>
      <c r="K456" s="1" t="str">
        <f>VLOOKUP(J456,'IU Major Match'!$D$2:$E$65,2,FALSE)</f>
        <v>Can be Transferred to Bachelor of Engineering</v>
      </c>
      <c r="L456" s="1">
        <v>81324056</v>
      </c>
      <c r="M456" s="1" t="s">
        <v>99</v>
      </c>
      <c r="N456" s="11">
        <v>108</v>
      </c>
      <c r="O456" s="11">
        <v>12</v>
      </c>
      <c r="P456" s="11">
        <v>11</v>
      </c>
      <c r="Q456" s="11">
        <v>85</v>
      </c>
      <c r="R456" s="5">
        <f t="shared" si="28"/>
        <v>0.21296296296296297</v>
      </c>
      <c r="S456" s="13" t="str">
        <f t="shared" si="29"/>
        <v>=&lt;50</v>
      </c>
      <c r="T456" s="14">
        <f t="shared" si="30"/>
        <v>6</v>
      </c>
      <c r="U456" s="14">
        <f t="shared" si="31"/>
        <v>3</v>
      </c>
    </row>
    <row r="457" spans="1:21" x14ac:dyDescent="0.25">
      <c r="A457" s="1">
        <v>62430030</v>
      </c>
      <c r="B457" s="1">
        <v>220304</v>
      </c>
      <c r="C457" s="1" t="s">
        <v>936</v>
      </c>
      <c r="D457" s="1" t="s">
        <v>937</v>
      </c>
      <c r="E457" s="1" t="s">
        <v>938</v>
      </c>
      <c r="F457" s="1" t="s">
        <v>76</v>
      </c>
      <c r="G457" s="1" t="s">
        <v>23</v>
      </c>
      <c r="H457" s="1" t="s">
        <v>19</v>
      </c>
      <c r="I457" s="1" t="s">
        <v>890</v>
      </c>
      <c r="J457" s="1" t="s">
        <v>891</v>
      </c>
      <c r="K457" s="1" t="str">
        <f>VLOOKUP(J457,'IU Major Match'!$D$2:$E$65,2,FALSE)</f>
        <v xml:space="preserve">Major exists in IU </v>
      </c>
      <c r="L457" s="1">
        <v>81337360</v>
      </c>
      <c r="M457" s="1" t="s">
        <v>99</v>
      </c>
      <c r="N457" s="11">
        <v>108</v>
      </c>
      <c r="O457" s="11">
        <v>18</v>
      </c>
      <c r="P457" s="11">
        <v>15</v>
      </c>
      <c r="Q457" s="11">
        <v>0</v>
      </c>
      <c r="R457" s="5">
        <f t="shared" si="28"/>
        <v>0.30555555555555558</v>
      </c>
      <c r="S457" s="13" t="str">
        <f t="shared" si="29"/>
        <v>=&lt;50</v>
      </c>
      <c r="T457" s="14">
        <f t="shared" si="30"/>
        <v>0</v>
      </c>
      <c r="U457" s="14">
        <f t="shared" si="31"/>
        <v>0</v>
      </c>
    </row>
    <row r="458" spans="1:21" x14ac:dyDescent="0.25">
      <c r="A458" s="1">
        <v>62230411</v>
      </c>
      <c r="B458" s="1">
        <v>194181</v>
      </c>
      <c r="C458" s="1" t="s">
        <v>939</v>
      </c>
      <c r="D458" s="1" t="s">
        <v>129</v>
      </c>
      <c r="E458" s="1" t="s">
        <v>197</v>
      </c>
      <c r="F458" s="1" t="s">
        <v>76</v>
      </c>
      <c r="G458" s="1" t="s">
        <v>23</v>
      </c>
      <c r="H458" s="1" t="s">
        <v>19</v>
      </c>
      <c r="I458" s="1" t="s">
        <v>151</v>
      </c>
      <c r="J458" s="1" t="s">
        <v>152</v>
      </c>
      <c r="K458" s="1" t="str">
        <f>VLOOKUP(J458,'IU Major Match'!$D$2:$E$65,2,FALSE)</f>
        <v>Major Dont exists in IU</v>
      </c>
      <c r="L458" s="1">
        <v>96181630011</v>
      </c>
      <c r="M458" s="1" t="s">
        <v>153</v>
      </c>
      <c r="N458" s="11">
        <v>105</v>
      </c>
      <c r="O458" s="11">
        <v>93</v>
      </c>
      <c r="P458" s="11">
        <v>12</v>
      </c>
      <c r="Q458" s="11">
        <v>0</v>
      </c>
      <c r="R458" s="5">
        <f t="shared" si="28"/>
        <v>1</v>
      </c>
      <c r="S458" s="13" t="str">
        <f t="shared" si="29"/>
        <v>&gt;50</v>
      </c>
      <c r="T458" s="14">
        <f t="shared" si="30"/>
        <v>0</v>
      </c>
      <c r="U458" s="14">
        <f t="shared" si="31"/>
        <v>0</v>
      </c>
    </row>
    <row r="459" spans="1:21" x14ac:dyDescent="0.25">
      <c r="A459" s="1">
        <v>62030009</v>
      </c>
      <c r="B459" s="1">
        <v>151590</v>
      </c>
      <c r="C459" s="1" t="s">
        <v>940</v>
      </c>
      <c r="D459" s="1" t="s">
        <v>282</v>
      </c>
      <c r="E459" s="1" t="s">
        <v>941</v>
      </c>
      <c r="F459" s="1" t="s">
        <v>76</v>
      </c>
      <c r="G459" s="1" t="s">
        <v>93</v>
      </c>
      <c r="H459" s="1" t="s">
        <v>19</v>
      </c>
      <c r="I459" s="1" t="s">
        <v>168</v>
      </c>
      <c r="J459" s="1" t="s">
        <v>169</v>
      </c>
      <c r="K459" s="1" t="str">
        <f>VLOOKUP(J459,'IU Major Match'!$D$2:$E$65,2,FALSE)</f>
        <v>Major Dont exists in IU</v>
      </c>
      <c r="L459" s="1">
        <v>96181818332</v>
      </c>
      <c r="M459" s="1" t="s">
        <v>51</v>
      </c>
      <c r="N459" s="11">
        <v>99</v>
      </c>
      <c r="O459" s="11">
        <v>93</v>
      </c>
      <c r="P459" s="11">
        <v>9</v>
      </c>
      <c r="Q459" s="11">
        <v>0</v>
      </c>
      <c r="R459" s="5">
        <f t="shared" si="28"/>
        <v>1.0303030303030303</v>
      </c>
      <c r="S459" s="13" t="str">
        <f t="shared" si="29"/>
        <v>&gt;50</v>
      </c>
      <c r="T459" s="14">
        <f t="shared" si="30"/>
        <v>0</v>
      </c>
      <c r="U459" s="14">
        <f t="shared" si="31"/>
        <v>0</v>
      </c>
    </row>
    <row r="460" spans="1:21" x14ac:dyDescent="0.25">
      <c r="A460" s="1">
        <v>62430128</v>
      </c>
      <c r="B460" s="1">
        <v>213774</v>
      </c>
      <c r="C460" s="1" t="s">
        <v>940</v>
      </c>
      <c r="D460" s="1" t="s">
        <v>374</v>
      </c>
      <c r="E460" s="1" t="s">
        <v>365</v>
      </c>
      <c r="F460" s="1" t="s">
        <v>76</v>
      </c>
      <c r="G460" s="1" t="s">
        <v>23</v>
      </c>
      <c r="H460" s="1" t="s">
        <v>19</v>
      </c>
      <c r="I460" s="1" t="s">
        <v>151</v>
      </c>
      <c r="J460" s="1" t="s">
        <v>152</v>
      </c>
      <c r="K460" s="1" t="str">
        <f>VLOOKUP(J460,'IU Major Match'!$D$2:$E$65,2,FALSE)</f>
        <v>Major Dont exists in IU</v>
      </c>
      <c r="L460" s="1">
        <v>70521181</v>
      </c>
      <c r="M460" s="1" t="s">
        <v>113</v>
      </c>
      <c r="N460" s="11">
        <v>105</v>
      </c>
      <c r="O460" s="11">
        <v>30</v>
      </c>
      <c r="P460" s="11">
        <v>15</v>
      </c>
      <c r="Q460" s="11">
        <v>60</v>
      </c>
      <c r="R460" s="5">
        <f t="shared" si="28"/>
        <v>0.42857142857142855</v>
      </c>
      <c r="S460" s="13" t="str">
        <f t="shared" si="29"/>
        <v>=&lt;50</v>
      </c>
      <c r="T460" s="14">
        <f t="shared" si="30"/>
        <v>4</v>
      </c>
      <c r="U460" s="14">
        <f t="shared" si="31"/>
        <v>2</v>
      </c>
    </row>
    <row r="461" spans="1:21" x14ac:dyDescent="0.25">
      <c r="A461" s="1">
        <v>62210038</v>
      </c>
      <c r="B461" s="1">
        <v>182030</v>
      </c>
      <c r="C461" s="1" t="s">
        <v>940</v>
      </c>
      <c r="D461" s="1" t="s">
        <v>942</v>
      </c>
      <c r="E461" s="1" t="s">
        <v>943</v>
      </c>
      <c r="F461" s="1" t="s">
        <v>76</v>
      </c>
      <c r="G461" s="1" t="s">
        <v>23</v>
      </c>
      <c r="H461" s="1" t="s">
        <v>19</v>
      </c>
      <c r="I461" s="1" t="s">
        <v>103</v>
      </c>
      <c r="J461" s="1" t="s">
        <v>104</v>
      </c>
      <c r="K461" s="1" t="str">
        <f>VLOOKUP(J461,'IU Major Match'!$D$2:$E$65,2,FALSE)</f>
        <v xml:space="preserve">Major exists in IU </v>
      </c>
      <c r="L461" s="1">
        <v>96181711138</v>
      </c>
      <c r="M461" s="1" t="s">
        <v>387</v>
      </c>
      <c r="N461" s="11">
        <v>100</v>
      </c>
      <c r="O461" s="11">
        <v>31</v>
      </c>
      <c r="P461" s="11">
        <v>9</v>
      </c>
      <c r="Q461" s="11">
        <v>60</v>
      </c>
      <c r="R461" s="5">
        <f t="shared" si="28"/>
        <v>0.4</v>
      </c>
      <c r="S461" s="13" t="str">
        <f t="shared" si="29"/>
        <v>=&lt;50</v>
      </c>
      <c r="T461" s="14">
        <f t="shared" si="30"/>
        <v>4</v>
      </c>
      <c r="U461" s="14">
        <f t="shared" si="31"/>
        <v>2</v>
      </c>
    </row>
    <row r="462" spans="1:21" x14ac:dyDescent="0.25">
      <c r="A462" s="1">
        <v>62530161</v>
      </c>
      <c r="B462" s="1">
        <v>222897</v>
      </c>
      <c r="C462" s="1" t="s">
        <v>940</v>
      </c>
      <c r="D462" s="1" t="s">
        <v>67</v>
      </c>
      <c r="E462" s="1" t="s">
        <v>944</v>
      </c>
      <c r="F462" s="1" t="s">
        <v>76</v>
      </c>
      <c r="G462" s="1" t="s">
        <v>23</v>
      </c>
      <c r="H462" s="1" t="s">
        <v>19</v>
      </c>
      <c r="I462" s="1" t="s">
        <v>945</v>
      </c>
      <c r="J462" s="1" t="s">
        <v>946</v>
      </c>
      <c r="K462" s="1" t="str">
        <f>VLOOKUP(J462,'IU Major Match'!$D$2:$E$65,2,FALSE)</f>
        <v>Major Dont exists in IU</v>
      </c>
      <c r="L462" s="1">
        <v>71012782</v>
      </c>
      <c r="M462" s="1" t="s">
        <v>99</v>
      </c>
      <c r="N462" s="11">
        <v>99</v>
      </c>
      <c r="O462" s="11">
        <v>37</v>
      </c>
      <c r="P462" s="11">
        <v>13</v>
      </c>
      <c r="Q462" s="11">
        <v>49</v>
      </c>
      <c r="R462" s="5">
        <f t="shared" si="28"/>
        <v>0.50505050505050508</v>
      </c>
      <c r="S462" s="13" t="str">
        <f t="shared" si="29"/>
        <v>&gt;50</v>
      </c>
      <c r="T462" s="14">
        <f t="shared" si="30"/>
        <v>4</v>
      </c>
      <c r="U462" s="14">
        <f t="shared" si="31"/>
        <v>2</v>
      </c>
    </row>
    <row r="463" spans="1:21" x14ac:dyDescent="0.25">
      <c r="A463" s="1">
        <v>62530059</v>
      </c>
      <c r="B463" s="1">
        <v>222365</v>
      </c>
      <c r="C463" s="1" t="s">
        <v>940</v>
      </c>
      <c r="D463" s="1" t="s">
        <v>325</v>
      </c>
      <c r="E463" s="1" t="s">
        <v>947</v>
      </c>
      <c r="F463" s="1" t="s">
        <v>76</v>
      </c>
      <c r="G463" s="1" t="s">
        <v>200</v>
      </c>
      <c r="H463" s="1" t="s">
        <v>19</v>
      </c>
      <c r="I463" s="1" t="s">
        <v>201</v>
      </c>
      <c r="J463" s="1" t="s">
        <v>202</v>
      </c>
      <c r="K463" s="1" t="str">
        <f>VLOOKUP(J463,'IU Major Match'!$D$2:$E$65,2,FALSE)</f>
        <v>Major Dont exists in IU</v>
      </c>
      <c r="L463" s="1">
        <v>96176623263</v>
      </c>
      <c r="M463" s="1" t="s">
        <v>99</v>
      </c>
      <c r="N463" s="11">
        <v>65</v>
      </c>
      <c r="O463" s="11">
        <v>11</v>
      </c>
      <c r="P463" s="11">
        <v>17</v>
      </c>
      <c r="Q463" s="11">
        <v>37</v>
      </c>
      <c r="R463" s="5">
        <f t="shared" si="28"/>
        <v>0.43076923076923079</v>
      </c>
      <c r="S463" s="13" t="str">
        <f t="shared" si="29"/>
        <v>=&lt;50</v>
      </c>
      <c r="T463" s="14">
        <f t="shared" si="30"/>
        <v>3</v>
      </c>
      <c r="U463" s="14">
        <f t="shared" si="31"/>
        <v>1.5</v>
      </c>
    </row>
    <row r="464" spans="1:21" x14ac:dyDescent="0.25">
      <c r="A464" s="1">
        <v>62530058</v>
      </c>
      <c r="B464" s="1">
        <v>219799</v>
      </c>
      <c r="C464" s="1" t="s">
        <v>940</v>
      </c>
      <c r="D464" s="1" t="s">
        <v>948</v>
      </c>
      <c r="E464" s="1" t="s">
        <v>949</v>
      </c>
      <c r="F464" s="1" t="s">
        <v>76</v>
      </c>
      <c r="G464" s="1" t="s">
        <v>93</v>
      </c>
      <c r="H464" s="1" t="s">
        <v>19</v>
      </c>
      <c r="I464" s="1" t="s">
        <v>138</v>
      </c>
      <c r="J464" s="1" t="s">
        <v>139</v>
      </c>
      <c r="K464" s="1" t="str">
        <f>VLOOKUP(J464,'IU Major Match'!$D$2:$E$65,2,FALSE)</f>
        <v xml:space="preserve">Major exists in IU </v>
      </c>
      <c r="L464" s="1">
        <v>70397894</v>
      </c>
      <c r="M464" s="1" t="s">
        <v>99</v>
      </c>
      <c r="N464" s="11">
        <v>99</v>
      </c>
      <c r="O464" s="11">
        <v>9</v>
      </c>
      <c r="P464" s="11">
        <v>18</v>
      </c>
      <c r="Q464" s="11">
        <v>72</v>
      </c>
      <c r="R464" s="5">
        <f t="shared" si="28"/>
        <v>0.27272727272727271</v>
      </c>
      <c r="S464" s="13" t="str">
        <f t="shared" si="29"/>
        <v>=&lt;50</v>
      </c>
      <c r="T464" s="14">
        <f t="shared" si="30"/>
        <v>5</v>
      </c>
      <c r="U464" s="14">
        <f t="shared" si="31"/>
        <v>2.5</v>
      </c>
    </row>
    <row r="465" spans="1:21" x14ac:dyDescent="0.25">
      <c r="A465" s="1">
        <v>62330254</v>
      </c>
      <c r="B465" s="1">
        <v>203706</v>
      </c>
      <c r="C465" s="1" t="s">
        <v>940</v>
      </c>
      <c r="D465" s="1" t="s">
        <v>950</v>
      </c>
      <c r="E465" s="1" t="s">
        <v>130</v>
      </c>
      <c r="F465" s="1" t="s">
        <v>76</v>
      </c>
      <c r="G465" s="1" t="s">
        <v>23</v>
      </c>
      <c r="H465" s="1" t="s">
        <v>19</v>
      </c>
      <c r="I465" s="1" t="s">
        <v>116</v>
      </c>
      <c r="J465" s="1" t="s">
        <v>117</v>
      </c>
      <c r="K465" s="1" t="str">
        <f>VLOOKUP(J465,'IU Major Match'!$D$2:$E$65,2,FALSE)</f>
        <v>Major Dont exists in IU</v>
      </c>
      <c r="L465" s="1">
        <v>96176973019</v>
      </c>
      <c r="M465" s="1" t="s">
        <v>90</v>
      </c>
      <c r="N465" s="11">
        <v>99</v>
      </c>
      <c r="O465" s="11">
        <v>54</v>
      </c>
      <c r="P465" s="11">
        <v>14</v>
      </c>
      <c r="Q465" s="11">
        <v>31</v>
      </c>
      <c r="R465" s="5">
        <f t="shared" si="28"/>
        <v>0.68686868686868685</v>
      </c>
      <c r="S465" s="13" t="str">
        <f t="shared" si="29"/>
        <v>&gt;50</v>
      </c>
      <c r="T465" s="14">
        <f t="shared" si="30"/>
        <v>3</v>
      </c>
      <c r="U465" s="14">
        <f t="shared" si="31"/>
        <v>1.5</v>
      </c>
    </row>
    <row r="466" spans="1:21" x14ac:dyDescent="0.25">
      <c r="A466" s="1">
        <v>62430007</v>
      </c>
      <c r="B466" s="1">
        <v>209303</v>
      </c>
      <c r="C466" s="1" t="s">
        <v>940</v>
      </c>
      <c r="D466" s="1" t="s">
        <v>951</v>
      </c>
      <c r="E466" s="1" t="s">
        <v>952</v>
      </c>
      <c r="F466" s="1" t="s">
        <v>76</v>
      </c>
      <c r="G466" s="1" t="s">
        <v>23</v>
      </c>
      <c r="H466" s="1" t="s">
        <v>19</v>
      </c>
      <c r="I466" s="1" t="s">
        <v>88</v>
      </c>
      <c r="J466" s="1" t="s">
        <v>89</v>
      </c>
      <c r="K466" s="1" t="str">
        <f>VLOOKUP(J466,'IU Major Match'!$D$2:$E$65,2,FALSE)</f>
        <v xml:space="preserve">Major exists in IU </v>
      </c>
      <c r="L466" s="1">
        <v>70463784</v>
      </c>
      <c r="M466" s="1" t="s">
        <v>113</v>
      </c>
      <c r="N466" s="11">
        <v>99</v>
      </c>
      <c r="O466" s="11">
        <v>52</v>
      </c>
      <c r="P466" s="11">
        <v>16</v>
      </c>
      <c r="Q466" s="11">
        <v>31</v>
      </c>
      <c r="R466" s="5">
        <f t="shared" si="28"/>
        <v>0.68686868686868685</v>
      </c>
      <c r="S466" s="13" t="str">
        <f t="shared" si="29"/>
        <v>&gt;50</v>
      </c>
      <c r="T466" s="14">
        <f t="shared" si="30"/>
        <v>3</v>
      </c>
      <c r="U466" s="14">
        <f t="shared" si="31"/>
        <v>1.5</v>
      </c>
    </row>
    <row r="467" spans="1:21" x14ac:dyDescent="0.25">
      <c r="A467" s="1">
        <v>62130149</v>
      </c>
      <c r="B467" s="1">
        <v>168615</v>
      </c>
      <c r="C467" s="1" t="s">
        <v>940</v>
      </c>
      <c r="D467" s="1" t="s">
        <v>513</v>
      </c>
      <c r="E467" s="1" t="s">
        <v>953</v>
      </c>
      <c r="F467" s="1" t="s">
        <v>76</v>
      </c>
      <c r="G467" s="1" t="s">
        <v>93</v>
      </c>
      <c r="H467" s="1" t="s">
        <v>19</v>
      </c>
      <c r="I467" s="1" t="s">
        <v>94</v>
      </c>
      <c r="J467" s="1" t="s">
        <v>95</v>
      </c>
      <c r="K467" s="1" t="str">
        <f>VLOOKUP(J467,'IU Major Match'!$D$2:$E$65,2,FALSE)</f>
        <v xml:space="preserve">Major exists in IU </v>
      </c>
      <c r="L467" s="1">
        <v>96176850768</v>
      </c>
      <c r="M467" s="1" t="s">
        <v>79</v>
      </c>
      <c r="N467" s="11">
        <v>99</v>
      </c>
      <c r="O467" s="11">
        <v>87</v>
      </c>
      <c r="P467" s="11">
        <v>12</v>
      </c>
      <c r="Q467" s="11">
        <v>0</v>
      </c>
      <c r="R467" s="5">
        <f t="shared" si="28"/>
        <v>1</v>
      </c>
      <c r="S467" s="13" t="str">
        <f t="shared" si="29"/>
        <v>&gt;50</v>
      </c>
      <c r="T467" s="14">
        <f t="shared" si="30"/>
        <v>0</v>
      </c>
      <c r="U467" s="14">
        <f t="shared" si="31"/>
        <v>0</v>
      </c>
    </row>
    <row r="468" spans="1:21" x14ac:dyDescent="0.25">
      <c r="A468" s="1">
        <v>62430216</v>
      </c>
      <c r="B468" s="1">
        <v>213323</v>
      </c>
      <c r="C468" s="1" t="s">
        <v>940</v>
      </c>
      <c r="D468" s="1" t="s">
        <v>190</v>
      </c>
      <c r="E468" s="1" t="s">
        <v>954</v>
      </c>
      <c r="F468" s="1" t="s">
        <v>76</v>
      </c>
      <c r="G468" s="1" t="s">
        <v>93</v>
      </c>
      <c r="H468" s="1" t="s">
        <v>19</v>
      </c>
      <c r="I468" s="1" t="s">
        <v>107</v>
      </c>
      <c r="J468" s="1" t="s">
        <v>108</v>
      </c>
      <c r="K468" s="1" t="str">
        <f>VLOOKUP(J468,'IU Major Match'!$D$2:$E$65,2,FALSE)</f>
        <v xml:space="preserve">Major exists in IU </v>
      </c>
      <c r="L468" s="1">
        <v>96181046628</v>
      </c>
      <c r="M468" s="1" t="s">
        <v>113</v>
      </c>
      <c r="N468" s="11">
        <v>99</v>
      </c>
      <c r="O468" s="11">
        <v>0</v>
      </c>
      <c r="P468" s="11">
        <v>9</v>
      </c>
      <c r="Q468" s="11">
        <v>96</v>
      </c>
      <c r="R468" s="5">
        <f t="shared" si="28"/>
        <v>9.0909090909090912E-2</v>
      </c>
      <c r="S468" s="13" t="str">
        <f t="shared" si="29"/>
        <v>=&lt;50</v>
      </c>
      <c r="T468" s="14">
        <f t="shared" si="30"/>
        <v>7</v>
      </c>
      <c r="U468" s="14">
        <f t="shared" si="31"/>
        <v>3.5</v>
      </c>
    </row>
    <row r="469" spans="1:21" x14ac:dyDescent="0.25">
      <c r="A469" s="1">
        <v>62330361</v>
      </c>
      <c r="B469" s="1">
        <v>207361</v>
      </c>
      <c r="C469" s="1" t="s">
        <v>940</v>
      </c>
      <c r="D469" s="1" t="s">
        <v>771</v>
      </c>
      <c r="E469" s="1" t="s">
        <v>955</v>
      </c>
      <c r="F469" s="1" t="s">
        <v>76</v>
      </c>
      <c r="G469" s="1" t="s">
        <v>23</v>
      </c>
      <c r="H469" s="1" t="s">
        <v>19</v>
      </c>
      <c r="I469" s="1" t="s">
        <v>151</v>
      </c>
      <c r="J469" s="1" t="s">
        <v>152</v>
      </c>
      <c r="K469" s="1" t="str">
        <f>VLOOKUP(J469,'IU Major Match'!$D$2:$E$65,2,FALSE)</f>
        <v>Major Dont exists in IU</v>
      </c>
      <c r="L469" s="1">
        <v>96176702913</v>
      </c>
      <c r="M469" s="1" t="s">
        <v>90</v>
      </c>
      <c r="N469" s="11">
        <v>105</v>
      </c>
      <c r="O469" s="11">
        <v>51</v>
      </c>
      <c r="P469" s="11">
        <v>14</v>
      </c>
      <c r="Q469" s="11">
        <v>40</v>
      </c>
      <c r="R469" s="5">
        <f t="shared" si="28"/>
        <v>0.61904761904761907</v>
      </c>
      <c r="S469" s="13" t="str">
        <f t="shared" si="29"/>
        <v>&gt;50</v>
      </c>
      <c r="T469" s="14">
        <f t="shared" si="30"/>
        <v>3</v>
      </c>
      <c r="U469" s="14">
        <f t="shared" si="31"/>
        <v>1.5</v>
      </c>
    </row>
    <row r="470" spans="1:21" x14ac:dyDescent="0.25">
      <c r="A470" s="1">
        <v>62410007</v>
      </c>
      <c r="B470" s="1">
        <v>207948</v>
      </c>
      <c r="C470" s="1" t="s">
        <v>940</v>
      </c>
      <c r="D470" s="1" t="s">
        <v>680</v>
      </c>
      <c r="E470" s="1" t="s">
        <v>956</v>
      </c>
      <c r="F470" s="1" t="s">
        <v>76</v>
      </c>
      <c r="G470" s="1" t="s">
        <v>23</v>
      </c>
      <c r="H470" s="1" t="s">
        <v>19</v>
      </c>
      <c r="I470" s="1" t="s">
        <v>88</v>
      </c>
      <c r="J470" s="1" t="s">
        <v>89</v>
      </c>
      <c r="K470" s="1" t="str">
        <f>VLOOKUP(J470,'IU Major Match'!$D$2:$E$65,2,FALSE)</f>
        <v xml:space="preserve">Major exists in IU </v>
      </c>
      <c r="L470" s="1">
        <v>96176705158</v>
      </c>
      <c r="M470" s="1" t="s">
        <v>362</v>
      </c>
      <c r="N470" s="11">
        <v>99</v>
      </c>
      <c r="O470" s="11">
        <v>55</v>
      </c>
      <c r="P470" s="11">
        <v>16</v>
      </c>
      <c r="Q470" s="11">
        <v>28</v>
      </c>
      <c r="R470" s="5">
        <f t="shared" si="28"/>
        <v>0.71717171717171713</v>
      </c>
      <c r="S470" s="13" t="str">
        <f t="shared" si="29"/>
        <v>&gt;50</v>
      </c>
      <c r="T470" s="14">
        <f t="shared" si="30"/>
        <v>2</v>
      </c>
      <c r="U470" s="14">
        <f t="shared" si="31"/>
        <v>1</v>
      </c>
    </row>
    <row r="471" spans="1:21" x14ac:dyDescent="0.25">
      <c r="A471" s="1">
        <v>62530174</v>
      </c>
      <c r="B471" s="1">
        <v>222950</v>
      </c>
      <c r="C471" s="1" t="s">
        <v>957</v>
      </c>
      <c r="D471" s="1" t="s">
        <v>641</v>
      </c>
      <c r="E471" s="1" t="s">
        <v>958</v>
      </c>
      <c r="F471" s="1" t="s">
        <v>76</v>
      </c>
      <c r="G471" s="1" t="s">
        <v>93</v>
      </c>
      <c r="H471" s="1" t="s">
        <v>19</v>
      </c>
      <c r="I471" s="1" t="s">
        <v>216</v>
      </c>
      <c r="J471" s="1" t="s">
        <v>217</v>
      </c>
      <c r="K471" s="1" t="str">
        <f>VLOOKUP(J471,'IU Major Match'!$D$2:$E$65,2,FALSE)</f>
        <v xml:space="preserve">Major exists in IU </v>
      </c>
      <c r="L471" s="1">
        <v>96176608465</v>
      </c>
      <c r="M471" s="1" t="s">
        <v>99</v>
      </c>
      <c r="N471" s="11">
        <v>99</v>
      </c>
      <c r="O471" s="11">
        <v>6</v>
      </c>
      <c r="P471" s="11">
        <v>12</v>
      </c>
      <c r="Q471" s="11">
        <v>81</v>
      </c>
      <c r="R471" s="5">
        <f t="shared" si="28"/>
        <v>0.18181818181818182</v>
      </c>
      <c r="S471" s="13" t="str">
        <f t="shared" si="29"/>
        <v>=&lt;50</v>
      </c>
      <c r="T471" s="14">
        <f t="shared" si="30"/>
        <v>6</v>
      </c>
      <c r="U471" s="14">
        <f t="shared" si="31"/>
        <v>3</v>
      </c>
    </row>
    <row r="472" spans="1:21" x14ac:dyDescent="0.25">
      <c r="A472" s="1">
        <v>61930102</v>
      </c>
      <c r="B472" s="1">
        <v>139850</v>
      </c>
      <c r="C472" s="1" t="s">
        <v>959</v>
      </c>
      <c r="D472" s="1" t="s">
        <v>119</v>
      </c>
      <c r="E472" s="1" t="s">
        <v>938</v>
      </c>
      <c r="F472" s="1" t="s">
        <v>76</v>
      </c>
      <c r="G472" s="1" t="s">
        <v>93</v>
      </c>
      <c r="H472" s="1" t="s">
        <v>19</v>
      </c>
      <c r="I472" s="1" t="s">
        <v>107</v>
      </c>
      <c r="J472" s="1" t="s">
        <v>108</v>
      </c>
      <c r="K472" s="1" t="str">
        <f>VLOOKUP(J472,'IU Major Match'!$D$2:$E$65,2,FALSE)</f>
        <v xml:space="preserve">Major exists in IU </v>
      </c>
      <c r="L472" s="1">
        <v>96181807882</v>
      </c>
      <c r="M472" s="1" t="s">
        <v>205</v>
      </c>
      <c r="N472" s="11">
        <v>99</v>
      </c>
      <c r="O472" s="11">
        <v>42</v>
      </c>
      <c r="P472" s="11">
        <v>12</v>
      </c>
      <c r="Q472" s="11">
        <v>45</v>
      </c>
      <c r="R472" s="5">
        <f t="shared" si="28"/>
        <v>0.54545454545454541</v>
      </c>
      <c r="S472" s="13" t="str">
        <f t="shared" si="29"/>
        <v>&gt;50</v>
      </c>
      <c r="T472" s="14">
        <f t="shared" si="30"/>
        <v>3</v>
      </c>
      <c r="U472" s="14">
        <f t="shared" si="31"/>
        <v>1.5</v>
      </c>
    </row>
    <row r="473" spans="1:21" x14ac:dyDescent="0.25">
      <c r="A473" s="1">
        <v>62530110</v>
      </c>
      <c r="B473" s="1">
        <v>220456</v>
      </c>
      <c r="C473" s="1" t="s">
        <v>959</v>
      </c>
      <c r="D473" s="1" t="s">
        <v>42</v>
      </c>
      <c r="E473" s="1" t="s">
        <v>960</v>
      </c>
      <c r="F473" s="1" t="s">
        <v>76</v>
      </c>
      <c r="G473" s="1" t="s">
        <v>23</v>
      </c>
      <c r="H473" s="1" t="s">
        <v>19</v>
      </c>
      <c r="I473" s="1" t="s">
        <v>258</v>
      </c>
      <c r="J473" s="1" t="s">
        <v>259</v>
      </c>
      <c r="K473" s="1" t="str">
        <f>VLOOKUP(J473,'IU Major Match'!$D$2:$E$65,2,FALSE)</f>
        <v xml:space="preserve">Major exists in IU </v>
      </c>
      <c r="L473" s="1">
        <v>96178728521</v>
      </c>
      <c r="M473" s="1" t="s">
        <v>99</v>
      </c>
      <c r="N473" s="11">
        <v>108</v>
      </c>
      <c r="O473" s="11">
        <v>3</v>
      </c>
      <c r="P473" s="11">
        <v>13</v>
      </c>
      <c r="Q473" s="11">
        <v>100</v>
      </c>
      <c r="R473" s="5">
        <f t="shared" si="28"/>
        <v>0.14814814814814814</v>
      </c>
      <c r="S473" s="13" t="str">
        <f t="shared" si="29"/>
        <v>=&lt;50</v>
      </c>
      <c r="T473" s="14">
        <f t="shared" si="30"/>
        <v>7</v>
      </c>
      <c r="U473" s="14">
        <f t="shared" si="31"/>
        <v>3.5</v>
      </c>
    </row>
    <row r="474" spans="1:21" x14ac:dyDescent="0.25">
      <c r="A474" s="1">
        <v>62430010</v>
      </c>
      <c r="B474" s="1">
        <v>209478</v>
      </c>
      <c r="C474" s="1" t="s">
        <v>961</v>
      </c>
      <c r="D474" s="1" t="s">
        <v>92</v>
      </c>
      <c r="E474" s="1" t="s">
        <v>962</v>
      </c>
      <c r="F474" s="1" t="s">
        <v>76</v>
      </c>
      <c r="G474" s="1" t="s">
        <v>23</v>
      </c>
      <c r="H474" s="1" t="s">
        <v>19</v>
      </c>
      <c r="I474" s="1" t="s">
        <v>116</v>
      </c>
      <c r="J474" s="1" t="s">
        <v>117</v>
      </c>
      <c r="K474" s="1" t="str">
        <f>VLOOKUP(J474,'IU Major Match'!$D$2:$E$65,2,FALSE)</f>
        <v>Major Dont exists in IU</v>
      </c>
      <c r="L474" s="1">
        <v>70552875</v>
      </c>
      <c r="M474" s="1" t="s">
        <v>113</v>
      </c>
      <c r="N474" s="11">
        <v>99</v>
      </c>
      <c r="O474" s="11">
        <v>27</v>
      </c>
      <c r="P474" s="11">
        <v>14</v>
      </c>
      <c r="Q474" s="11">
        <v>58</v>
      </c>
      <c r="R474" s="5">
        <f t="shared" si="28"/>
        <v>0.41414141414141414</v>
      </c>
      <c r="S474" s="13" t="str">
        <f t="shared" si="29"/>
        <v>=&lt;50</v>
      </c>
      <c r="T474" s="14">
        <f t="shared" si="30"/>
        <v>4</v>
      </c>
      <c r="U474" s="14">
        <f t="shared" si="31"/>
        <v>2</v>
      </c>
    </row>
    <row r="475" spans="1:21" x14ac:dyDescent="0.25">
      <c r="A475" s="1">
        <v>62130005</v>
      </c>
      <c r="B475" s="1">
        <v>169392</v>
      </c>
      <c r="C475" s="1" t="s">
        <v>961</v>
      </c>
      <c r="D475" s="1" t="s">
        <v>538</v>
      </c>
      <c r="E475" s="1" t="s">
        <v>538</v>
      </c>
      <c r="F475" s="1" t="s">
        <v>76</v>
      </c>
      <c r="G475" s="1" t="s">
        <v>23</v>
      </c>
      <c r="H475" s="1" t="s">
        <v>19</v>
      </c>
      <c r="I475" s="1" t="s">
        <v>963</v>
      </c>
      <c r="J475" s="1" t="s">
        <v>964</v>
      </c>
      <c r="K475" s="1" t="str">
        <f>VLOOKUP(J475,'IU Major Match'!$D$2:$E$65,2,FALSE)</f>
        <v>Major Dont exists in IU</v>
      </c>
      <c r="L475" s="1">
        <v>76302220</v>
      </c>
      <c r="M475" s="1" t="s">
        <v>79</v>
      </c>
      <c r="N475" s="11">
        <v>99</v>
      </c>
      <c r="O475" s="11">
        <v>97</v>
      </c>
      <c r="P475" s="11">
        <v>4</v>
      </c>
      <c r="Q475" s="11">
        <v>0</v>
      </c>
      <c r="R475" s="5">
        <f t="shared" si="28"/>
        <v>1.0202020202020201</v>
      </c>
      <c r="S475" s="13" t="str">
        <f t="shared" si="29"/>
        <v>&gt;50</v>
      </c>
      <c r="T475" s="14">
        <f t="shared" si="30"/>
        <v>0</v>
      </c>
      <c r="U475" s="14">
        <f t="shared" si="31"/>
        <v>0</v>
      </c>
    </row>
    <row r="476" spans="1:21" x14ac:dyDescent="0.25">
      <c r="A476" s="1">
        <v>62430197</v>
      </c>
      <c r="B476" s="1">
        <v>212201</v>
      </c>
      <c r="C476" s="1" t="s">
        <v>965</v>
      </c>
      <c r="D476" s="1" t="s">
        <v>966</v>
      </c>
      <c r="E476" s="1" t="s">
        <v>967</v>
      </c>
      <c r="F476" s="1" t="s">
        <v>76</v>
      </c>
      <c r="G476" s="1" t="s">
        <v>93</v>
      </c>
      <c r="H476" s="1" t="s">
        <v>19</v>
      </c>
      <c r="I476" s="1" t="s">
        <v>107</v>
      </c>
      <c r="J476" s="1" t="s">
        <v>108</v>
      </c>
      <c r="K476" s="1" t="str">
        <f>VLOOKUP(J476,'IU Major Match'!$D$2:$E$65,2,FALSE)</f>
        <v xml:space="preserve">Major exists in IU </v>
      </c>
      <c r="L476" s="1">
        <v>71841435</v>
      </c>
      <c r="M476" s="1" t="s">
        <v>113</v>
      </c>
      <c r="N476" s="11">
        <v>99</v>
      </c>
      <c r="O476" s="11">
        <v>18</v>
      </c>
      <c r="P476" s="11">
        <v>12</v>
      </c>
      <c r="Q476" s="11">
        <v>69</v>
      </c>
      <c r="R476" s="5">
        <f t="shared" si="28"/>
        <v>0.30303030303030304</v>
      </c>
      <c r="S476" s="13" t="str">
        <f t="shared" si="29"/>
        <v>=&lt;50</v>
      </c>
      <c r="T476" s="14">
        <f t="shared" si="30"/>
        <v>5</v>
      </c>
      <c r="U476" s="14">
        <f t="shared" si="31"/>
        <v>2.5</v>
      </c>
    </row>
    <row r="477" spans="1:21" x14ac:dyDescent="0.25">
      <c r="A477" s="1">
        <v>62330165</v>
      </c>
      <c r="B477" s="1">
        <v>201135</v>
      </c>
      <c r="C477" s="1" t="s">
        <v>968</v>
      </c>
      <c r="D477" s="1" t="s">
        <v>969</v>
      </c>
      <c r="E477" s="1" t="s">
        <v>132</v>
      </c>
      <c r="F477" s="1" t="s">
        <v>76</v>
      </c>
      <c r="G477" s="1" t="s">
        <v>93</v>
      </c>
      <c r="H477" s="1" t="s">
        <v>19</v>
      </c>
      <c r="I477" s="1" t="s">
        <v>94</v>
      </c>
      <c r="J477" s="1" t="s">
        <v>95</v>
      </c>
      <c r="K477" s="1" t="str">
        <f>VLOOKUP(J477,'IU Major Match'!$D$2:$E$65,2,FALSE)</f>
        <v xml:space="preserve">Major exists in IU </v>
      </c>
      <c r="L477" s="1">
        <v>79185967</v>
      </c>
      <c r="M477" s="1" t="s">
        <v>90</v>
      </c>
      <c r="N477" s="11">
        <v>99</v>
      </c>
      <c r="O477" s="11">
        <v>60</v>
      </c>
      <c r="P477" s="11">
        <v>12</v>
      </c>
      <c r="Q477" s="11">
        <v>27</v>
      </c>
      <c r="R477" s="5">
        <f t="shared" si="28"/>
        <v>0.72727272727272729</v>
      </c>
      <c r="S477" s="13" t="str">
        <f t="shared" si="29"/>
        <v>&gt;50</v>
      </c>
      <c r="T477" s="14">
        <f t="shared" si="30"/>
        <v>2</v>
      </c>
      <c r="U477" s="14">
        <f t="shared" si="31"/>
        <v>1</v>
      </c>
    </row>
    <row r="478" spans="1:21" x14ac:dyDescent="0.25">
      <c r="A478" s="1">
        <v>62310049</v>
      </c>
      <c r="B478" s="1">
        <v>198025</v>
      </c>
      <c r="C478" s="1" t="s">
        <v>970</v>
      </c>
      <c r="D478" s="1" t="s">
        <v>701</v>
      </c>
      <c r="E478" s="1" t="s">
        <v>370</v>
      </c>
      <c r="F478" s="1" t="s">
        <v>76</v>
      </c>
      <c r="G478" s="1" t="s">
        <v>93</v>
      </c>
      <c r="H478" s="1" t="s">
        <v>19</v>
      </c>
      <c r="I478" s="1" t="s">
        <v>111</v>
      </c>
      <c r="J478" s="1" t="s">
        <v>112</v>
      </c>
      <c r="K478" s="1" t="str">
        <f>VLOOKUP(J478,'IU Major Match'!$D$2:$E$65,2,FALSE)</f>
        <v xml:space="preserve">Major exists in IU </v>
      </c>
      <c r="L478" s="1">
        <v>70395826</v>
      </c>
      <c r="M478" s="1" t="s">
        <v>178</v>
      </c>
      <c r="N478" s="11">
        <v>99</v>
      </c>
      <c r="O478" s="11">
        <v>87</v>
      </c>
      <c r="P478" s="11">
        <v>12</v>
      </c>
      <c r="Q478" s="11">
        <v>0</v>
      </c>
      <c r="R478" s="5">
        <f t="shared" si="28"/>
        <v>1</v>
      </c>
      <c r="S478" s="13" t="str">
        <f t="shared" si="29"/>
        <v>&gt;50</v>
      </c>
      <c r="T478" s="14">
        <f t="shared" si="30"/>
        <v>0</v>
      </c>
      <c r="U478" s="14">
        <f t="shared" si="31"/>
        <v>0</v>
      </c>
    </row>
    <row r="479" spans="1:21" x14ac:dyDescent="0.25">
      <c r="A479" s="1">
        <v>62330187</v>
      </c>
      <c r="B479" s="1">
        <v>201065</v>
      </c>
      <c r="C479" s="1" t="s">
        <v>971</v>
      </c>
      <c r="D479" s="1" t="s">
        <v>972</v>
      </c>
      <c r="E479" s="1" t="s">
        <v>973</v>
      </c>
      <c r="F479" s="1" t="s">
        <v>76</v>
      </c>
      <c r="G479" s="1" t="s">
        <v>93</v>
      </c>
      <c r="H479" s="1" t="s">
        <v>19</v>
      </c>
      <c r="I479" s="1" t="s">
        <v>168</v>
      </c>
      <c r="J479" s="1" t="s">
        <v>169</v>
      </c>
      <c r="K479" s="1" t="str">
        <f>VLOOKUP(J479,'IU Major Match'!$D$2:$E$65,2,FALSE)</f>
        <v>Major Dont exists in IU</v>
      </c>
      <c r="L479" s="1">
        <v>96170685572</v>
      </c>
      <c r="M479" s="1" t="s">
        <v>90</v>
      </c>
      <c r="N479" s="11">
        <v>99</v>
      </c>
      <c r="O479" s="11">
        <v>66</v>
      </c>
      <c r="P479" s="11">
        <v>18</v>
      </c>
      <c r="Q479" s="11">
        <v>15</v>
      </c>
      <c r="R479" s="5">
        <f t="shared" si="28"/>
        <v>0.84848484848484851</v>
      </c>
      <c r="S479" s="13" t="str">
        <f t="shared" si="29"/>
        <v>&gt;50</v>
      </c>
      <c r="T479" s="14">
        <f t="shared" si="30"/>
        <v>1</v>
      </c>
      <c r="U479" s="14">
        <f t="shared" si="31"/>
        <v>0.5</v>
      </c>
    </row>
    <row r="480" spans="1:21" x14ac:dyDescent="0.25">
      <c r="A480" s="1">
        <v>62610026</v>
      </c>
      <c r="B480" s="1">
        <v>227398</v>
      </c>
      <c r="C480" s="1" t="s">
        <v>974</v>
      </c>
      <c r="D480" s="1" t="s">
        <v>975</v>
      </c>
      <c r="E480" s="1" t="s">
        <v>976</v>
      </c>
      <c r="F480" s="1" t="s">
        <v>76</v>
      </c>
      <c r="G480" s="1" t="s">
        <v>23</v>
      </c>
      <c r="H480" s="1" t="s">
        <v>19</v>
      </c>
      <c r="I480" s="1" t="s">
        <v>142</v>
      </c>
      <c r="J480" s="1" t="s">
        <v>143</v>
      </c>
      <c r="K480" s="1" t="str">
        <f>VLOOKUP(J480,'IU Major Match'!$D$2:$E$65,2,FALSE)</f>
        <v xml:space="preserve">Major exists in IU </v>
      </c>
      <c r="L480" s="1">
        <v>96179162541</v>
      </c>
      <c r="M480" s="1" t="s">
        <v>84</v>
      </c>
      <c r="N480" s="11">
        <v>99</v>
      </c>
      <c r="O480" s="11">
        <v>0</v>
      </c>
      <c r="P480" s="11">
        <v>13</v>
      </c>
      <c r="Q480" s="11">
        <v>96</v>
      </c>
      <c r="R480" s="5">
        <f t="shared" si="28"/>
        <v>0.13131313131313133</v>
      </c>
      <c r="S480" s="13" t="str">
        <f t="shared" si="29"/>
        <v>=&lt;50</v>
      </c>
      <c r="T480" s="14">
        <f t="shared" si="30"/>
        <v>7</v>
      </c>
      <c r="U480" s="14">
        <f t="shared" si="31"/>
        <v>3.5</v>
      </c>
    </row>
    <row r="481" spans="1:21" x14ac:dyDescent="0.25">
      <c r="A481" s="1">
        <v>62430233</v>
      </c>
      <c r="B481" s="1">
        <v>214354</v>
      </c>
      <c r="C481" s="1" t="s">
        <v>974</v>
      </c>
      <c r="D481" s="1" t="s">
        <v>145</v>
      </c>
      <c r="E481" s="1" t="s">
        <v>977</v>
      </c>
      <c r="F481" s="1" t="s">
        <v>76</v>
      </c>
      <c r="G481" s="1" t="s">
        <v>93</v>
      </c>
      <c r="H481" s="1" t="s">
        <v>19</v>
      </c>
      <c r="I481" s="1" t="s">
        <v>345</v>
      </c>
      <c r="J481" s="1" t="s">
        <v>346</v>
      </c>
      <c r="K481" s="1" t="str">
        <f>VLOOKUP(J481,'IU Major Match'!$D$2:$E$65,2,FALSE)</f>
        <v xml:space="preserve">Major exists in IU </v>
      </c>
      <c r="L481" s="1">
        <v>96179176520</v>
      </c>
      <c r="M481" s="1" t="s">
        <v>113</v>
      </c>
      <c r="N481" s="11">
        <v>99</v>
      </c>
      <c r="O481" s="11">
        <v>6</v>
      </c>
      <c r="P481" s="11">
        <v>10</v>
      </c>
      <c r="Q481" s="11">
        <v>91</v>
      </c>
      <c r="R481" s="5">
        <f t="shared" si="28"/>
        <v>0.16161616161616163</v>
      </c>
      <c r="S481" s="13" t="str">
        <f t="shared" si="29"/>
        <v>=&lt;50</v>
      </c>
      <c r="T481" s="14">
        <f t="shared" si="30"/>
        <v>7</v>
      </c>
      <c r="U481" s="14">
        <f t="shared" si="31"/>
        <v>3.5</v>
      </c>
    </row>
    <row r="482" spans="1:21" x14ac:dyDescent="0.25">
      <c r="A482" s="1">
        <v>62530118</v>
      </c>
      <c r="B482" s="1">
        <v>221050</v>
      </c>
      <c r="C482" s="1" t="s">
        <v>978</v>
      </c>
      <c r="D482" s="1" t="s">
        <v>261</v>
      </c>
      <c r="E482" s="1" t="s">
        <v>979</v>
      </c>
      <c r="F482" s="1" t="s">
        <v>76</v>
      </c>
      <c r="G482" s="1" t="s">
        <v>23</v>
      </c>
      <c r="H482" s="1" t="s">
        <v>19</v>
      </c>
      <c r="I482" s="1" t="s">
        <v>142</v>
      </c>
      <c r="J482" s="1" t="s">
        <v>143</v>
      </c>
      <c r="K482" s="1" t="str">
        <f>VLOOKUP(J482,'IU Major Match'!$D$2:$E$65,2,FALSE)</f>
        <v xml:space="preserve">Major exists in IU </v>
      </c>
      <c r="L482" s="1">
        <v>96178838198</v>
      </c>
      <c r="M482" s="1" t="s">
        <v>99</v>
      </c>
      <c r="N482" s="11">
        <v>99</v>
      </c>
      <c r="O482" s="11">
        <v>6</v>
      </c>
      <c r="P482" s="11">
        <v>9</v>
      </c>
      <c r="Q482" s="11">
        <v>84</v>
      </c>
      <c r="R482" s="5">
        <f t="shared" si="28"/>
        <v>0.15151515151515152</v>
      </c>
      <c r="S482" s="13" t="str">
        <f t="shared" si="29"/>
        <v>=&lt;50</v>
      </c>
      <c r="T482" s="14">
        <f t="shared" si="30"/>
        <v>6</v>
      </c>
      <c r="U482" s="14">
        <f t="shared" si="31"/>
        <v>3</v>
      </c>
    </row>
    <row r="483" spans="1:21" x14ac:dyDescent="0.25">
      <c r="A483" s="1">
        <v>62430081</v>
      </c>
      <c r="B483" s="1">
        <v>213764</v>
      </c>
      <c r="C483" s="1" t="s">
        <v>816</v>
      </c>
      <c r="D483" s="1" t="s">
        <v>447</v>
      </c>
      <c r="E483" s="1" t="s">
        <v>47</v>
      </c>
      <c r="F483" s="1" t="s">
        <v>76</v>
      </c>
      <c r="G483" s="1" t="s">
        <v>200</v>
      </c>
      <c r="H483" s="1" t="s">
        <v>19</v>
      </c>
      <c r="I483" s="1" t="s">
        <v>201</v>
      </c>
      <c r="J483" s="1" t="s">
        <v>202</v>
      </c>
      <c r="K483" s="1" t="str">
        <f>VLOOKUP(J483,'IU Major Match'!$D$2:$E$65,2,FALSE)</f>
        <v>Major Dont exists in IU</v>
      </c>
      <c r="L483" s="1">
        <v>76498250</v>
      </c>
      <c r="M483" s="1" t="s">
        <v>113</v>
      </c>
      <c r="N483" s="11">
        <v>65</v>
      </c>
      <c r="O483" s="11">
        <v>53</v>
      </c>
      <c r="P483" s="11">
        <v>12</v>
      </c>
      <c r="Q483" s="11">
        <v>0</v>
      </c>
      <c r="R483" s="5">
        <f t="shared" si="28"/>
        <v>1</v>
      </c>
      <c r="S483" s="13" t="str">
        <f t="shared" si="29"/>
        <v>&gt;50</v>
      </c>
      <c r="T483" s="14">
        <f t="shared" si="30"/>
        <v>0</v>
      </c>
      <c r="U483" s="14">
        <f t="shared" si="31"/>
        <v>0</v>
      </c>
    </row>
    <row r="484" spans="1:21" x14ac:dyDescent="0.25">
      <c r="A484" s="1">
        <v>62030243</v>
      </c>
      <c r="B484" s="1">
        <v>157819</v>
      </c>
      <c r="C484" s="1" t="s">
        <v>816</v>
      </c>
      <c r="D484" s="1" t="s">
        <v>256</v>
      </c>
      <c r="E484" s="1" t="s">
        <v>980</v>
      </c>
      <c r="F484" s="1" t="s">
        <v>76</v>
      </c>
      <c r="G484" s="1" t="s">
        <v>93</v>
      </c>
      <c r="H484" s="1" t="s">
        <v>19</v>
      </c>
      <c r="I484" s="1" t="s">
        <v>345</v>
      </c>
      <c r="J484" s="1" t="s">
        <v>346</v>
      </c>
      <c r="K484" s="1" t="str">
        <f>VLOOKUP(J484,'IU Major Match'!$D$2:$E$65,2,FALSE)</f>
        <v xml:space="preserve">Major exists in IU </v>
      </c>
      <c r="L484" s="1">
        <v>71847611</v>
      </c>
      <c r="M484" s="1" t="s">
        <v>51</v>
      </c>
      <c r="N484" s="11">
        <v>99</v>
      </c>
      <c r="O484" s="11">
        <v>57</v>
      </c>
      <c r="P484" s="11">
        <v>9</v>
      </c>
      <c r="Q484" s="11">
        <v>33</v>
      </c>
      <c r="R484" s="5">
        <f t="shared" si="28"/>
        <v>0.66666666666666663</v>
      </c>
      <c r="S484" s="13" t="str">
        <f t="shared" si="29"/>
        <v>&gt;50</v>
      </c>
      <c r="T484" s="14">
        <f t="shared" si="30"/>
        <v>3</v>
      </c>
      <c r="U484" s="14">
        <f t="shared" si="31"/>
        <v>1.5</v>
      </c>
    </row>
    <row r="485" spans="1:21" x14ac:dyDescent="0.25">
      <c r="A485" s="1">
        <v>62530009</v>
      </c>
      <c r="B485" s="1">
        <v>219383</v>
      </c>
      <c r="C485" s="1" t="s">
        <v>383</v>
      </c>
      <c r="D485" s="1" t="s">
        <v>571</v>
      </c>
      <c r="E485" s="1" t="s">
        <v>981</v>
      </c>
      <c r="F485" s="1" t="s">
        <v>76</v>
      </c>
      <c r="G485" s="1" t="s">
        <v>18</v>
      </c>
      <c r="H485" s="1" t="s">
        <v>19</v>
      </c>
      <c r="I485" s="1" t="s">
        <v>82</v>
      </c>
      <c r="J485" s="1" t="s">
        <v>83</v>
      </c>
      <c r="K485" s="1" t="str">
        <f>VLOOKUP(J485,'IU Major Match'!$D$2:$E$65,2,FALSE)</f>
        <v>Can be Transferred to Bachelor of Engineering</v>
      </c>
      <c r="L485" s="1">
        <v>79177897</v>
      </c>
      <c r="M485" s="1" t="s">
        <v>99</v>
      </c>
      <c r="N485" s="11">
        <v>108</v>
      </c>
      <c r="O485" s="11">
        <v>28</v>
      </c>
      <c r="P485" s="11">
        <v>18</v>
      </c>
      <c r="Q485" s="11">
        <v>62</v>
      </c>
      <c r="R485" s="5">
        <f t="shared" si="28"/>
        <v>0.42592592592592593</v>
      </c>
      <c r="S485" s="13" t="str">
        <f t="shared" si="29"/>
        <v>=&lt;50</v>
      </c>
      <c r="T485" s="14">
        <f t="shared" si="30"/>
        <v>5</v>
      </c>
      <c r="U485" s="14">
        <f t="shared" si="31"/>
        <v>2.5</v>
      </c>
    </row>
    <row r="486" spans="1:21" x14ac:dyDescent="0.25">
      <c r="A486" s="1">
        <v>62130045</v>
      </c>
      <c r="B486" s="1">
        <v>168601</v>
      </c>
      <c r="C486" s="1" t="s">
        <v>383</v>
      </c>
      <c r="D486" s="1" t="s">
        <v>190</v>
      </c>
      <c r="E486" s="1" t="s">
        <v>390</v>
      </c>
      <c r="F486" s="1" t="s">
        <v>76</v>
      </c>
      <c r="G486" s="1" t="s">
        <v>23</v>
      </c>
      <c r="H486" s="1" t="s">
        <v>19</v>
      </c>
      <c r="I486" s="1" t="s">
        <v>151</v>
      </c>
      <c r="J486" s="1" t="s">
        <v>152</v>
      </c>
      <c r="K486" s="1" t="str">
        <f>VLOOKUP(J486,'IU Major Match'!$D$2:$E$65,2,FALSE)</f>
        <v>Major Dont exists in IU</v>
      </c>
      <c r="L486" s="1">
        <v>3592739</v>
      </c>
      <c r="M486" s="1" t="s">
        <v>79</v>
      </c>
      <c r="N486" s="11">
        <v>105</v>
      </c>
      <c r="O486" s="11">
        <v>87</v>
      </c>
      <c r="P486" s="11">
        <v>12</v>
      </c>
      <c r="Q486" s="11">
        <v>6</v>
      </c>
      <c r="R486" s="5">
        <f t="shared" si="28"/>
        <v>0.94285714285714284</v>
      </c>
      <c r="S486" s="13" t="str">
        <f t="shared" si="29"/>
        <v>&gt;50</v>
      </c>
      <c r="T486" s="14">
        <f t="shared" si="30"/>
        <v>1</v>
      </c>
      <c r="U486" s="14">
        <f t="shared" si="31"/>
        <v>0.5</v>
      </c>
    </row>
    <row r="487" spans="1:21" x14ac:dyDescent="0.25">
      <c r="A487" s="1">
        <v>62530202</v>
      </c>
      <c r="B487" s="1">
        <v>224558</v>
      </c>
      <c r="C487" s="1" t="s">
        <v>383</v>
      </c>
      <c r="D487" s="1" t="s">
        <v>617</v>
      </c>
      <c r="E487" s="1" t="s">
        <v>355</v>
      </c>
      <c r="F487" s="1" t="s">
        <v>76</v>
      </c>
      <c r="G487" s="1" t="s">
        <v>23</v>
      </c>
      <c r="H487" s="1" t="s">
        <v>19</v>
      </c>
      <c r="I487" s="1" t="s">
        <v>397</v>
      </c>
      <c r="J487" s="1" t="s">
        <v>398</v>
      </c>
      <c r="K487" s="1" t="str">
        <f>VLOOKUP(J487,'IU Major Match'!$D$2:$E$65,2,FALSE)</f>
        <v xml:space="preserve">Major exists in IU </v>
      </c>
      <c r="L487" s="1">
        <v>96178989435</v>
      </c>
      <c r="M487" s="1" t="s">
        <v>99</v>
      </c>
      <c r="N487" s="11">
        <v>99</v>
      </c>
      <c r="O487" s="11">
        <v>6</v>
      </c>
      <c r="P487" s="11">
        <v>13</v>
      </c>
      <c r="Q487" s="11">
        <v>89</v>
      </c>
      <c r="R487" s="5">
        <f t="shared" si="28"/>
        <v>0.19191919191919191</v>
      </c>
      <c r="S487" s="13" t="str">
        <f t="shared" si="29"/>
        <v>=&lt;50</v>
      </c>
      <c r="T487" s="14">
        <f t="shared" si="30"/>
        <v>6</v>
      </c>
      <c r="U487" s="14">
        <f t="shared" si="31"/>
        <v>3</v>
      </c>
    </row>
    <row r="488" spans="1:21" x14ac:dyDescent="0.25">
      <c r="A488" s="1">
        <v>62530177</v>
      </c>
      <c r="B488" s="1">
        <v>223921</v>
      </c>
      <c r="C488" s="1" t="s">
        <v>982</v>
      </c>
      <c r="D488" s="1" t="s">
        <v>983</v>
      </c>
      <c r="E488" s="1" t="s">
        <v>984</v>
      </c>
      <c r="F488" s="1" t="s">
        <v>76</v>
      </c>
      <c r="G488" s="1" t="s">
        <v>23</v>
      </c>
      <c r="H488" s="1" t="s">
        <v>19</v>
      </c>
      <c r="I488" s="1" t="s">
        <v>97</v>
      </c>
      <c r="J488" s="1" t="s">
        <v>98</v>
      </c>
      <c r="K488" s="1" t="str">
        <f>VLOOKUP(J488,'IU Major Match'!$D$2:$E$65,2,FALSE)</f>
        <v>Major Dont exists in IU</v>
      </c>
      <c r="L488" s="1">
        <v>71703270</v>
      </c>
      <c r="M488" s="1" t="s">
        <v>99</v>
      </c>
      <c r="N488" s="11">
        <v>105</v>
      </c>
      <c r="O488" s="11">
        <v>6</v>
      </c>
      <c r="P488" s="11">
        <v>14</v>
      </c>
      <c r="Q488" s="11">
        <v>92</v>
      </c>
      <c r="R488" s="5">
        <f t="shared" si="28"/>
        <v>0.19047619047619047</v>
      </c>
      <c r="S488" s="13" t="str">
        <f t="shared" si="29"/>
        <v>=&lt;50</v>
      </c>
      <c r="T488" s="14">
        <f t="shared" si="30"/>
        <v>7</v>
      </c>
      <c r="U488" s="14">
        <f t="shared" si="31"/>
        <v>3.5</v>
      </c>
    </row>
    <row r="489" spans="1:21" x14ac:dyDescent="0.25">
      <c r="A489" s="1">
        <v>62310050</v>
      </c>
      <c r="B489" s="1">
        <v>198114</v>
      </c>
      <c r="C489" s="1" t="s">
        <v>985</v>
      </c>
      <c r="D489" s="1" t="s">
        <v>513</v>
      </c>
      <c r="E489" s="1" t="s">
        <v>986</v>
      </c>
      <c r="F489" s="1" t="s">
        <v>76</v>
      </c>
      <c r="G489" s="1" t="s">
        <v>93</v>
      </c>
      <c r="H489" s="1" t="s">
        <v>19</v>
      </c>
      <c r="I489" s="1" t="s">
        <v>94</v>
      </c>
      <c r="J489" s="1" t="s">
        <v>95</v>
      </c>
      <c r="K489" s="1" t="str">
        <f>VLOOKUP(J489,'IU Major Match'!$D$2:$E$65,2,FALSE)</f>
        <v xml:space="preserve">Major exists in IU </v>
      </c>
      <c r="L489" s="1">
        <v>71849271</v>
      </c>
      <c r="M489" s="1" t="s">
        <v>178</v>
      </c>
      <c r="N489" s="11">
        <v>99</v>
      </c>
      <c r="O489" s="11">
        <v>54</v>
      </c>
      <c r="P489" s="11">
        <v>15</v>
      </c>
      <c r="Q489" s="11">
        <v>30</v>
      </c>
      <c r="R489" s="5">
        <f t="shared" si="28"/>
        <v>0.69696969696969702</v>
      </c>
      <c r="S489" s="13" t="str">
        <f t="shared" si="29"/>
        <v>&gt;50</v>
      </c>
      <c r="T489" s="14">
        <f t="shared" si="30"/>
        <v>2</v>
      </c>
      <c r="U489" s="14">
        <f t="shared" si="31"/>
        <v>1</v>
      </c>
    </row>
    <row r="490" spans="1:21" x14ac:dyDescent="0.25">
      <c r="A490" s="1">
        <v>62330240</v>
      </c>
      <c r="B490" s="1">
        <v>203652</v>
      </c>
      <c r="C490" s="1" t="s">
        <v>987</v>
      </c>
      <c r="D490" s="1" t="s">
        <v>455</v>
      </c>
      <c r="E490" s="1" t="s">
        <v>43</v>
      </c>
      <c r="F490" s="1" t="s">
        <v>76</v>
      </c>
      <c r="G490" s="1" t="s">
        <v>23</v>
      </c>
      <c r="H490" s="1" t="s">
        <v>19</v>
      </c>
      <c r="I490" s="1" t="s">
        <v>88</v>
      </c>
      <c r="J490" s="1" t="s">
        <v>89</v>
      </c>
      <c r="K490" s="1" t="str">
        <f>VLOOKUP(J490,'IU Major Match'!$D$2:$E$65,2,FALSE)</f>
        <v xml:space="preserve">Major exists in IU </v>
      </c>
      <c r="L490" s="1">
        <v>79128515</v>
      </c>
      <c r="M490" s="1" t="s">
        <v>90</v>
      </c>
      <c r="N490" s="11">
        <v>99</v>
      </c>
      <c r="O490" s="11">
        <v>66</v>
      </c>
      <c r="P490" s="11">
        <v>9</v>
      </c>
      <c r="Q490" s="11">
        <v>24</v>
      </c>
      <c r="R490" s="5">
        <f t="shared" si="28"/>
        <v>0.75757575757575757</v>
      </c>
      <c r="S490" s="13" t="str">
        <f t="shared" si="29"/>
        <v>&gt;50</v>
      </c>
      <c r="T490" s="14">
        <f t="shared" si="30"/>
        <v>2</v>
      </c>
      <c r="U490" s="14">
        <f t="shared" si="31"/>
        <v>1</v>
      </c>
    </row>
    <row r="491" spans="1:21" x14ac:dyDescent="0.25">
      <c r="A491" s="1">
        <v>62430105</v>
      </c>
      <c r="B491" s="1">
        <v>210061</v>
      </c>
      <c r="C491" s="1" t="s">
        <v>988</v>
      </c>
      <c r="D491" s="1" t="s">
        <v>451</v>
      </c>
      <c r="E491" s="1" t="s">
        <v>595</v>
      </c>
      <c r="F491" s="1" t="s">
        <v>76</v>
      </c>
      <c r="G491" s="1" t="s">
        <v>23</v>
      </c>
      <c r="H491" s="1" t="s">
        <v>19</v>
      </c>
      <c r="I491" s="1" t="s">
        <v>116</v>
      </c>
      <c r="J491" s="1" t="s">
        <v>117</v>
      </c>
      <c r="K491" s="1" t="str">
        <f>VLOOKUP(J491,'IU Major Match'!$D$2:$E$65,2,FALSE)</f>
        <v>Major Dont exists in IU</v>
      </c>
      <c r="L491" s="1">
        <v>96171927735</v>
      </c>
      <c r="M491" s="1" t="s">
        <v>113</v>
      </c>
      <c r="N491" s="11">
        <v>99</v>
      </c>
      <c r="O491" s="11">
        <v>31</v>
      </c>
      <c r="P491" s="11">
        <v>14</v>
      </c>
      <c r="Q491" s="11">
        <v>54</v>
      </c>
      <c r="R491" s="5">
        <f t="shared" si="28"/>
        <v>0.45454545454545453</v>
      </c>
      <c r="S491" s="13" t="str">
        <f t="shared" si="29"/>
        <v>=&lt;50</v>
      </c>
      <c r="T491" s="14">
        <f t="shared" si="30"/>
        <v>4</v>
      </c>
      <c r="U491" s="14">
        <f t="shared" si="31"/>
        <v>2</v>
      </c>
    </row>
    <row r="492" spans="1:21" x14ac:dyDescent="0.25">
      <c r="A492" s="1">
        <v>62330072</v>
      </c>
      <c r="B492" s="1">
        <v>199053</v>
      </c>
      <c r="C492" s="1" t="s">
        <v>989</v>
      </c>
      <c r="D492" s="1" t="s">
        <v>513</v>
      </c>
      <c r="E492" s="1" t="s">
        <v>399</v>
      </c>
      <c r="F492" s="1" t="s">
        <v>76</v>
      </c>
      <c r="G492" s="1" t="s">
        <v>93</v>
      </c>
      <c r="H492" s="1" t="s">
        <v>19</v>
      </c>
      <c r="I492" s="1" t="s">
        <v>94</v>
      </c>
      <c r="J492" s="1" t="s">
        <v>95</v>
      </c>
      <c r="K492" s="1" t="str">
        <f>VLOOKUP(J492,'IU Major Match'!$D$2:$E$65,2,FALSE)</f>
        <v xml:space="preserve">Major exists in IU </v>
      </c>
      <c r="L492" s="1">
        <v>81427612</v>
      </c>
      <c r="M492" s="1" t="s">
        <v>90</v>
      </c>
      <c r="N492" s="11">
        <v>99</v>
      </c>
      <c r="O492" s="11">
        <v>48</v>
      </c>
      <c r="P492" s="11">
        <v>15</v>
      </c>
      <c r="Q492" s="11">
        <v>36</v>
      </c>
      <c r="R492" s="5">
        <f t="shared" si="28"/>
        <v>0.63636363636363635</v>
      </c>
      <c r="S492" s="13" t="str">
        <f t="shared" si="29"/>
        <v>&gt;50</v>
      </c>
      <c r="T492" s="14">
        <f t="shared" si="30"/>
        <v>3</v>
      </c>
      <c r="U492" s="14">
        <f t="shared" si="31"/>
        <v>1.5</v>
      </c>
    </row>
    <row r="493" spans="1:21" x14ac:dyDescent="0.25">
      <c r="A493" s="1">
        <v>62230195</v>
      </c>
      <c r="B493" s="1">
        <v>187251</v>
      </c>
      <c r="C493" s="1" t="s">
        <v>990</v>
      </c>
      <c r="D493" s="1" t="s">
        <v>678</v>
      </c>
      <c r="E493" s="1" t="s">
        <v>991</v>
      </c>
      <c r="F493" s="1" t="s">
        <v>76</v>
      </c>
      <c r="G493" s="1" t="s">
        <v>23</v>
      </c>
      <c r="H493" s="1" t="s">
        <v>19</v>
      </c>
      <c r="I493" s="1" t="s">
        <v>151</v>
      </c>
      <c r="J493" s="1" t="s">
        <v>152</v>
      </c>
      <c r="K493" s="1" t="str">
        <f>VLOOKUP(J493,'IU Major Match'!$D$2:$E$65,2,FALSE)</f>
        <v>Major Dont exists in IU</v>
      </c>
      <c r="L493" s="1">
        <v>96170798961</v>
      </c>
      <c r="M493" s="1" t="s">
        <v>153</v>
      </c>
      <c r="N493" s="11">
        <v>105</v>
      </c>
      <c r="O493" s="11">
        <v>87</v>
      </c>
      <c r="P493" s="11">
        <v>18</v>
      </c>
      <c r="Q493" s="11">
        <v>0</v>
      </c>
      <c r="R493" s="5">
        <f t="shared" si="28"/>
        <v>1</v>
      </c>
      <c r="S493" s="13" t="str">
        <f t="shared" si="29"/>
        <v>&gt;50</v>
      </c>
      <c r="T493" s="14">
        <f t="shared" si="30"/>
        <v>0</v>
      </c>
      <c r="U493" s="14">
        <f t="shared" si="31"/>
        <v>0</v>
      </c>
    </row>
    <row r="494" spans="1:21" x14ac:dyDescent="0.25">
      <c r="A494" s="1">
        <v>62530140</v>
      </c>
      <c r="B494" s="1">
        <v>222155</v>
      </c>
      <c r="C494" s="1" t="s">
        <v>992</v>
      </c>
      <c r="D494" s="1" t="s">
        <v>182</v>
      </c>
      <c r="E494" s="1" t="s">
        <v>183</v>
      </c>
      <c r="F494" s="1" t="s">
        <v>76</v>
      </c>
      <c r="G494" s="1" t="s">
        <v>93</v>
      </c>
      <c r="H494" s="1" t="s">
        <v>19</v>
      </c>
      <c r="I494" s="1" t="s">
        <v>124</v>
      </c>
      <c r="J494" s="1" t="s">
        <v>125</v>
      </c>
      <c r="K494" s="1" t="str">
        <f>VLOOKUP(J494,'IU Major Match'!$D$2:$E$65,2,FALSE)</f>
        <v xml:space="preserve">Major exists in IU </v>
      </c>
      <c r="L494" s="1">
        <v>96181058424</v>
      </c>
      <c r="M494" s="1" t="s">
        <v>99</v>
      </c>
      <c r="N494" s="11">
        <v>99</v>
      </c>
      <c r="O494" s="11">
        <v>0</v>
      </c>
      <c r="P494" s="11">
        <v>13</v>
      </c>
      <c r="Q494" s="11">
        <v>90</v>
      </c>
      <c r="R494" s="5">
        <f t="shared" si="28"/>
        <v>0.13131313131313133</v>
      </c>
      <c r="S494" s="13" t="str">
        <f t="shared" si="29"/>
        <v>=&lt;50</v>
      </c>
      <c r="T494" s="14">
        <f t="shared" si="30"/>
        <v>6</v>
      </c>
      <c r="U494" s="14">
        <f t="shared" si="31"/>
        <v>3</v>
      </c>
    </row>
    <row r="495" spans="1:21" x14ac:dyDescent="0.25">
      <c r="A495" s="1">
        <v>62530158</v>
      </c>
      <c r="B495" s="1">
        <v>222923</v>
      </c>
      <c r="C495" s="1" t="s">
        <v>993</v>
      </c>
      <c r="D495" s="1" t="s">
        <v>129</v>
      </c>
      <c r="E495" s="1" t="s">
        <v>994</v>
      </c>
      <c r="F495" s="1" t="s">
        <v>76</v>
      </c>
      <c r="G495" s="1" t="s">
        <v>93</v>
      </c>
      <c r="H495" s="1" t="s">
        <v>19</v>
      </c>
      <c r="I495" s="1" t="s">
        <v>995</v>
      </c>
      <c r="J495" s="1" t="s">
        <v>996</v>
      </c>
      <c r="K495" s="1" t="str">
        <f>VLOOKUP(J495,'IU Major Match'!$D$2:$E$65,2,FALSE)</f>
        <v xml:space="preserve">Major exists in IU </v>
      </c>
      <c r="L495" s="1">
        <v>71982542</v>
      </c>
      <c r="M495" s="1" t="s">
        <v>99</v>
      </c>
      <c r="N495" s="11">
        <v>99</v>
      </c>
      <c r="O495" s="11">
        <v>6</v>
      </c>
      <c r="P495" s="11">
        <v>15</v>
      </c>
      <c r="Q495" s="11">
        <v>78</v>
      </c>
      <c r="R495" s="5">
        <f t="shared" si="28"/>
        <v>0.21212121212121213</v>
      </c>
      <c r="S495" s="13" t="str">
        <f t="shared" si="29"/>
        <v>=&lt;50</v>
      </c>
      <c r="T495" s="14">
        <f t="shared" si="30"/>
        <v>6</v>
      </c>
      <c r="U495" s="14">
        <f t="shared" si="31"/>
        <v>3</v>
      </c>
    </row>
    <row r="496" spans="1:21" x14ac:dyDescent="0.25">
      <c r="A496" s="1">
        <v>62430028</v>
      </c>
      <c r="B496" s="1">
        <v>209301</v>
      </c>
      <c r="C496" s="1" t="s">
        <v>997</v>
      </c>
      <c r="D496" s="1" t="s">
        <v>590</v>
      </c>
      <c r="E496" s="1" t="s">
        <v>600</v>
      </c>
      <c r="F496" s="1" t="s">
        <v>76</v>
      </c>
      <c r="G496" s="1" t="s">
        <v>23</v>
      </c>
      <c r="H496" s="1" t="s">
        <v>19</v>
      </c>
      <c r="I496" s="1" t="s">
        <v>88</v>
      </c>
      <c r="J496" s="1" t="s">
        <v>89</v>
      </c>
      <c r="K496" s="1" t="str">
        <f>VLOOKUP(J496,'IU Major Match'!$D$2:$E$65,2,FALSE)</f>
        <v xml:space="preserve">Major exists in IU </v>
      </c>
      <c r="L496" s="1">
        <v>96176844213</v>
      </c>
      <c r="M496" s="1" t="s">
        <v>113</v>
      </c>
      <c r="N496" s="11">
        <v>99</v>
      </c>
      <c r="O496" s="11">
        <v>49</v>
      </c>
      <c r="P496" s="11">
        <v>16</v>
      </c>
      <c r="Q496" s="11">
        <v>34</v>
      </c>
      <c r="R496" s="5">
        <f t="shared" si="28"/>
        <v>0.65656565656565657</v>
      </c>
      <c r="S496" s="13" t="str">
        <f t="shared" si="29"/>
        <v>&gt;50</v>
      </c>
      <c r="T496" s="14">
        <f t="shared" si="30"/>
        <v>3</v>
      </c>
      <c r="U496" s="14">
        <f t="shared" si="31"/>
        <v>1.5</v>
      </c>
    </row>
    <row r="497" spans="1:21" x14ac:dyDescent="0.25">
      <c r="A497" s="1">
        <v>62530138</v>
      </c>
      <c r="B497" s="1">
        <v>222249</v>
      </c>
      <c r="C497" s="1" t="s">
        <v>998</v>
      </c>
      <c r="D497" s="1" t="s">
        <v>140</v>
      </c>
      <c r="E497" s="1" t="s">
        <v>999</v>
      </c>
      <c r="F497" s="1" t="s">
        <v>76</v>
      </c>
      <c r="G497" s="1" t="s">
        <v>93</v>
      </c>
      <c r="H497" s="1" t="s">
        <v>19</v>
      </c>
      <c r="I497" s="1" t="s">
        <v>138</v>
      </c>
      <c r="J497" s="1" t="s">
        <v>139</v>
      </c>
      <c r="K497" s="1" t="str">
        <f>VLOOKUP(J497,'IU Major Match'!$D$2:$E$65,2,FALSE)</f>
        <v xml:space="preserve">Major exists in IU </v>
      </c>
      <c r="L497" s="1">
        <v>96171924391</v>
      </c>
      <c r="M497" s="1" t="s">
        <v>99</v>
      </c>
      <c r="N497" s="11">
        <v>99</v>
      </c>
      <c r="O497" s="11">
        <v>12</v>
      </c>
      <c r="P497" s="11">
        <v>12</v>
      </c>
      <c r="Q497" s="11">
        <v>75</v>
      </c>
      <c r="R497" s="5">
        <f t="shared" si="28"/>
        <v>0.24242424242424243</v>
      </c>
      <c r="S497" s="13" t="str">
        <f t="shared" si="29"/>
        <v>=&lt;50</v>
      </c>
      <c r="T497" s="14">
        <f t="shared" si="30"/>
        <v>5</v>
      </c>
      <c r="U497" s="14">
        <f t="shared" si="31"/>
        <v>2.5</v>
      </c>
    </row>
    <row r="498" spans="1:21" x14ac:dyDescent="0.25">
      <c r="A498" s="1">
        <v>62430113</v>
      </c>
      <c r="B498" s="1">
        <v>211334</v>
      </c>
      <c r="C498" s="1" t="s">
        <v>998</v>
      </c>
      <c r="D498" s="1" t="s">
        <v>176</v>
      </c>
      <c r="E498" s="1" t="s">
        <v>1000</v>
      </c>
      <c r="F498" s="1" t="s">
        <v>76</v>
      </c>
      <c r="G498" s="1" t="s">
        <v>68</v>
      </c>
      <c r="H498" s="1" t="s">
        <v>19</v>
      </c>
      <c r="I498" s="1" t="s">
        <v>474</v>
      </c>
      <c r="J498" s="1" t="s">
        <v>475</v>
      </c>
      <c r="K498" s="1" t="str">
        <f>VLOOKUP(J498,'IU Major Match'!$D$2:$E$65,2,FALSE)</f>
        <v xml:space="preserve">Major exists in IU </v>
      </c>
      <c r="L498" s="1">
        <v>71710244</v>
      </c>
      <c r="M498" s="1" t="s">
        <v>113</v>
      </c>
      <c r="N498" s="11">
        <v>99</v>
      </c>
      <c r="O498" s="11">
        <v>24</v>
      </c>
      <c r="P498" s="11">
        <v>15</v>
      </c>
      <c r="Q498" s="11">
        <v>60</v>
      </c>
      <c r="R498" s="5">
        <f t="shared" si="28"/>
        <v>0.39393939393939392</v>
      </c>
      <c r="S498" s="13" t="str">
        <f t="shared" si="29"/>
        <v>=&lt;50</v>
      </c>
      <c r="T498" s="14">
        <f t="shared" si="30"/>
        <v>4</v>
      </c>
      <c r="U498" s="14">
        <f t="shared" si="31"/>
        <v>2</v>
      </c>
    </row>
    <row r="499" spans="1:21" x14ac:dyDescent="0.25">
      <c r="A499" s="1">
        <v>62610021</v>
      </c>
      <c r="B499" s="1">
        <v>227522</v>
      </c>
      <c r="C499" s="1" t="s">
        <v>1001</v>
      </c>
      <c r="D499" s="1" t="s">
        <v>24</v>
      </c>
      <c r="E499" s="1" t="s">
        <v>1002</v>
      </c>
      <c r="F499" s="1" t="s">
        <v>76</v>
      </c>
      <c r="G499" s="1" t="s">
        <v>93</v>
      </c>
      <c r="H499" s="1" t="s">
        <v>19</v>
      </c>
      <c r="I499" s="1" t="s">
        <v>138</v>
      </c>
      <c r="J499" s="1" t="s">
        <v>139</v>
      </c>
      <c r="K499" s="1" t="str">
        <f>VLOOKUP(J499,'IU Major Match'!$D$2:$E$65,2,FALSE)</f>
        <v xml:space="preserve">Major exists in IU </v>
      </c>
      <c r="L499" s="1">
        <v>96176547736</v>
      </c>
      <c r="M499" s="1" t="s">
        <v>84</v>
      </c>
      <c r="N499" s="11">
        <v>99</v>
      </c>
      <c r="O499" s="11">
        <v>12</v>
      </c>
      <c r="P499" s="11">
        <v>12</v>
      </c>
      <c r="Q499" s="11">
        <v>75</v>
      </c>
      <c r="R499" s="5">
        <f t="shared" si="28"/>
        <v>0.24242424242424243</v>
      </c>
      <c r="S499" s="13" t="str">
        <f t="shared" si="29"/>
        <v>=&lt;50</v>
      </c>
      <c r="T499" s="14">
        <f t="shared" si="30"/>
        <v>5</v>
      </c>
      <c r="U499" s="14">
        <f t="shared" si="31"/>
        <v>2.5</v>
      </c>
    </row>
    <row r="500" spans="1:21" x14ac:dyDescent="0.25">
      <c r="A500" s="1">
        <v>62610003</v>
      </c>
      <c r="B500" s="1">
        <v>227137</v>
      </c>
      <c r="C500" s="1" t="s">
        <v>1003</v>
      </c>
      <c r="D500" s="1" t="s">
        <v>1004</v>
      </c>
      <c r="E500" s="1" t="s">
        <v>1005</v>
      </c>
      <c r="F500" s="1" t="s">
        <v>76</v>
      </c>
      <c r="G500" s="1" t="s">
        <v>23</v>
      </c>
      <c r="H500" s="1" t="s">
        <v>19</v>
      </c>
      <c r="I500" s="1" t="s">
        <v>142</v>
      </c>
      <c r="J500" s="1" t="s">
        <v>143</v>
      </c>
      <c r="K500" s="1" t="str">
        <f>VLOOKUP(J500,'IU Major Match'!$D$2:$E$65,2,FALSE)</f>
        <v xml:space="preserve">Major exists in IU </v>
      </c>
      <c r="L500" s="1">
        <v>81482990</v>
      </c>
      <c r="M500" s="1" t="s">
        <v>84</v>
      </c>
      <c r="N500" s="11">
        <v>99</v>
      </c>
      <c r="O500" s="11">
        <v>0</v>
      </c>
      <c r="P500" s="11">
        <v>13</v>
      </c>
      <c r="Q500" s="11">
        <v>94</v>
      </c>
      <c r="R500" s="5">
        <f t="shared" si="28"/>
        <v>0.13131313131313133</v>
      </c>
      <c r="S500" s="13" t="str">
        <f t="shared" si="29"/>
        <v>=&lt;50</v>
      </c>
      <c r="T500" s="14">
        <f t="shared" si="30"/>
        <v>7</v>
      </c>
      <c r="U500" s="14">
        <f t="shared" si="31"/>
        <v>3.5</v>
      </c>
    </row>
    <row r="501" spans="1:21" x14ac:dyDescent="0.25">
      <c r="A501" s="1">
        <v>62330136</v>
      </c>
      <c r="B501" s="1">
        <v>202646</v>
      </c>
      <c r="C501" s="1" t="s">
        <v>1003</v>
      </c>
      <c r="D501" s="1" t="s">
        <v>50</v>
      </c>
      <c r="E501" s="1" t="s">
        <v>935</v>
      </c>
      <c r="F501" s="1" t="s">
        <v>76</v>
      </c>
      <c r="G501" s="1" t="s">
        <v>23</v>
      </c>
      <c r="H501" s="1" t="s">
        <v>19</v>
      </c>
      <c r="I501" s="1" t="s">
        <v>88</v>
      </c>
      <c r="J501" s="1" t="s">
        <v>89</v>
      </c>
      <c r="K501" s="1" t="str">
        <f>VLOOKUP(J501,'IU Major Match'!$D$2:$E$65,2,FALSE)</f>
        <v xml:space="preserve">Major exists in IU </v>
      </c>
      <c r="L501" s="1">
        <v>96176927076</v>
      </c>
      <c r="M501" s="1" t="s">
        <v>90</v>
      </c>
      <c r="N501" s="11">
        <v>99</v>
      </c>
      <c r="O501" s="11">
        <v>52</v>
      </c>
      <c r="P501" s="11">
        <v>13</v>
      </c>
      <c r="Q501" s="11">
        <v>34</v>
      </c>
      <c r="R501" s="5">
        <f t="shared" si="28"/>
        <v>0.65656565656565657</v>
      </c>
      <c r="S501" s="13" t="str">
        <f t="shared" si="29"/>
        <v>&gt;50</v>
      </c>
      <c r="T501" s="14">
        <f t="shared" si="30"/>
        <v>3</v>
      </c>
      <c r="U501" s="14">
        <f t="shared" si="31"/>
        <v>1.5</v>
      </c>
    </row>
    <row r="502" spans="1:21" x14ac:dyDescent="0.25">
      <c r="A502" s="1">
        <v>62430104</v>
      </c>
      <c r="B502" s="1">
        <v>210033</v>
      </c>
      <c r="C502" s="1" t="s">
        <v>1003</v>
      </c>
      <c r="D502" s="1" t="s">
        <v>1006</v>
      </c>
      <c r="E502" s="1" t="s">
        <v>1007</v>
      </c>
      <c r="F502" s="1" t="s">
        <v>76</v>
      </c>
      <c r="G502" s="1" t="s">
        <v>23</v>
      </c>
      <c r="H502" s="1" t="s">
        <v>19</v>
      </c>
      <c r="I502" s="1" t="s">
        <v>88</v>
      </c>
      <c r="J502" s="1" t="s">
        <v>89</v>
      </c>
      <c r="K502" s="1" t="str">
        <f>VLOOKUP(J502,'IU Major Match'!$D$2:$E$65,2,FALSE)</f>
        <v xml:space="preserve">Major exists in IU </v>
      </c>
      <c r="L502" s="1">
        <v>96170625057</v>
      </c>
      <c r="M502" s="1" t="s">
        <v>113</v>
      </c>
      <c r="N502" s="11">
        <v>99</v>
      </c>
      <c r="O502" s="11">
        <v>21</v>
      </c>
      <c r="P502" s="11">
        <v>15</v>
      </c>
      <c r="Q502" s="11">
        <v>63</v>
      </c>
      <c r="R502" s="5">
        <f t="shared" si="28"/>
        <v>0.36363636363636365</v>
      </c>
      <c r="S502" s="13" t="str">
        <f t="shared" si="29"/>
        <v>=&lt;50</v>
      </c>
      <c r="T502" s="14">
        <f t="shared" si="30"/>
        <v>5</v>
      </c>
      <c r="U502" s="14">
        <f t="shared" si="31"/>
        <v>2.5</v>
      </c>
    </row>
    <row r="503" spans="1:21" x14ac:dyDescent="0.25">
      <c r="A503" s="1">
        <v>62310014</v>
      </c>
      <c r="B503" s="1">
        <v>197171</v>
      </c>
      <c r="C503" s="1" t="s">
        <v>195</v>
      </c>
      <c r="D503" s="1" t="s">
        <v>24</v>
      </c>
      <c r="E503" s="1" t="s">
        <v>1008</v>
      </c>
      <c r="F503" s="1" t="s">
        <v>76</v>
      </c>
      <c r="G503" s="1" t="s">
        <v>23</v>
      </c>
      <c r="H503" s="1" t="s">
        <v>19</v>
      </c>
      <c r="I503" s="1" t="s">
        <v>103</v>
      </c>
      <c r="J503" s="1" t="s">
        <v>104</v>
      </c>
      <c r="K503" s="1" t="str">
        <f>VLOOKUP(J503,'IU Major Match'!$D$2:$E$65,2,FALSE)</f>
        <v xml:space="preserve">Major exists in IU </v>
      </c>
      <c r="L503" s="1">
        <v>96170257380</v>
      </c>
      <c r="M503" s="1" t="s">
        <v>178</v>
      </c>
      <c r="N503" s="11">
        <v>100</v>
      </c>
      <c r="O503" s="11">
        <v>85</v>
      </c>
      <c r="P503" s="11">
        <v>15</v>
      </c>
      <c r="Q503" s="11">
        <v>0</v>
      </c>
      <c r="R503" s="5">
        <f t="shared" si="28"/>
        <v>1</v>
      </c>
      <c r="S503" s="13" t="str">
        <f t="shared" si="29"/>
        <v>&gt;50</v>
      </c>
      <c r="T503" s="14">
        <f t="shared" si="30"/>
        <v>0</v>
      </c>
      <c r="U503" s="14">
        <f t="shared" si="31"/>
        <v>0</v>
      </c>
    </row>
    <row r="504" spans="1:21" x14ac:dyDescent="0.25">
      <c r="A504" s="1">
        <v>62430195</v>
      </c>
      <c r="B504" s="1">
        <v>212168</v>
      </c>
      <c r="C504" s="1" t="s">
        <v>1009</v>
      </c>
      <c r="D504" s="1" t="s">
        <v>59</v>
      </c>
      <c r="E504" s="1" t="s">
        <v>952</v>
      </c>
      <c r="F504" s="1" t="s">
        <v>76</v>
      </c>
      <c r="G504" s="1" t="s">
        <v>93</v>
      </c>
      <c r="H504" s="1" t="s">
        <v>19</v>
      </c>
      <c r="I504" s="1" t="s">
        <v>94</v>
      </c>
      <c r="J504" s="1" t="s">
        <v>95</v>
      </c>
      <c r="K504" s="1" t="str">
        <f>VLOOKUP(J504,'IU Major Match'!$D$2:$E$65,2,FALSE)</f>
        <v xml:space="preserve">Major exists in IU </v>
      </c>
      <c r="L504" s="1">
        <v>81337586</v>
      </c>
      <c r="M504" s="1" t="s">
        <v>113</v>
      </c>
      <c r="N504" s="11">
        <v>99</v>
      </c>
      <c r="O504" s="11">
        <v>12</v>
      </c>
      <c r="P504" s="11">
        <v>12</v>
      </c>
      <c r="Q504" s="11">
        <v>75</v>
      </c>
      <c r="R504" s="5">
        <f t="shared" si="28"/>
        <v>0.24242424242424243</v>
      </c>
      <c r="S504" s="13" t="str">
        <f t="shared" si="29"/>
        <v>=&lt;50</v>
      </c>
      <c r="T504" s="14">
        <f t="shared" si="30"/>
        <v>5</v>
      </c>
      <c r="U504" s="14">
        <f t="shared" si="31"/>
        <v>2.5</v>
      </c>
    </row>
    <row r="505" spans="1:21" x14ac:dyDescent="0.25">
      <c r="A505" s="1">
        <v>62530064</v>
      </c>
      <c r="B505" s="1">
        <v>219794</v>
      </c>
      <c r="C505" s="1" t="s">
        <v>1010</v>
      </c>
      <c r="D505" s="1" t="s">
        <v>562</v>
      </c>
      <c r="E505" s="1" t="s">
        <v>1011</v>
      </c>
      <c r="F505" s="1" t="s">
        <v>76</v>
      </c>
      <c r="G505" s="1" t="s">
        <v>23</v>
      </c>
      <c r="H505" s="1" t="s">
        <v>19</v>
      </c>
      <c r="I505" s="1" t="s">
        <v>250</v>
      </c>
      <c r="J505" s="1" t="s">
        <v>251</v>
      </c>
      <c r="K505" s="1" t="str">
        <f>VLOOKUP(J505,'IU Major Match'!$D$2:$E$65,2,FALSE)</f>
        <v xml:space="preserve">Major exists in IU </v>
      </c>
      <c r="L505" s="1">
        <v>96171196954</v>
      </c>
      <c r="M505" s="1" t="s">
        <v>99</v>
      </c>
      <c r="N505" s="11">
        <v>99</v>
      </c>
      <c r="O505" s="11">
        <v>3</v>
      </c>
      <c r="P505" s="11">
        <v>10</v>
      </c>
      <c r="Q505" s="11">
        <v>90</v>
      </c>
      <c r="R505" s="5">
        <f t="shared" si="28"/>
        <v>0.13131313131313133</v>
      </c>
      <c r="S505" s="13" t="str">
        <f t="shared" si="29"/>
        <v>=&lt;50</v>
      </c>
      <c r="T505" s="14">
        <f t="shared" si="30"/>
        <v>6</v>
      </c>
      <c r="U505" s="14">
        <f t="shared" si="31"/>
        <v>3</v>
      </c>
    </row>
    <row r="506" spans="1:21" x14ac:dyDescent="0.25">
      <c r="A506" s="1">
        <v>62610006</v>
      </c>
      <c r="B506" s="1">
        <v>227139</v>
      </c>
      <c r="C506" s="1" t="s">
        <v>1012</v>
      </c>
      <c r="D506" s="1" t="s">
        <v>325</v>
      </c>
      <c r="E506" s="1" t="s">
        <v>1013</v>
      </c>
      <c r="F506" s="1" t="s">
        <v>76</v>
      </c>
      <c r="G506" s="1" t="s">
        <v>18</v>
      </c>
      <c r="H506" s="1" t="s">
        <v>19</v>
      </c>
      <c r="I506" s="1" t="s">
        <v>302</v>
      </c>
      <c r="J506" s="1" t="s">
        <v>303</v>
      </c>
      <c r="K506" s="1" t="str">
        <f>VLOOKUP(J506,'IU Major Match'!$D$2:$E$65,2,FALSE)</f>
        <v>Can be Transferred to Bachelor of Engineering</v>
      </c>
      <c r="L506" s="1">
        <v>81407574</v>
      </c>
      <c r="M506" s="1" t="s">
        <v>84</v>
      </c>
      <c r="N506" s="11">
        <v>108</v>
      </c>
      <c r="O506" s="11">
        <v>6</v>
      </c>
      <c r="P506" s="11">
        <v>18</v>
      </c>
      <c r="Q506" s="11">
        <v>87</v>
      </c>
      <c r="R506" s="5">
        <f t="shared" si="28"/>
        <v>0.22222222222222221</v>
      </c>
      <c r="S506" s="13" t="str">
        <f t="shared" si="29"/>
        <v>=&lt;50</v>
      </c>
      <c r="T506" s="14">
        <f t="shared" si="30"/>
        <v>6</v>
      </c>
      <c r="U506" s="14">
        <f t="shared" si="31"/>
        <v>3</v>
      </c>
    </row>
    <row r="507" spans="1:21" x14ac:dyDescent="0.25">
      <c r="A507" s="1">
        <v>62330036</v>
      </c>
      <c r="B507" s="1">
        <v>198745</v>
      </c>
      <c r="C507" s="1" t="s">
        <v>129</v>
      </c>
      <c r="D507" s="1" t="s">
        <v>129</v>
      </c>
      <c r="E507" s="1" t="s">
        <v>1014</v>
      </c>
      <c r="F507" s="1" t="s">
        <v>76</v>
      </c>
      <c r="G507" s="1" t="s">
        <v>93</v>
      </c>
      <c r="H507" s="1" t="s">
        <v>19</v>
      </c>
      <c r="I507" s="1" t="s">
        <v>168</v>
      </c>
      <c r="J507" s="1" t="s">
        <v>169</v>
      </c>
      <c r="K507" s="1" t="str">
        <f>VLOOKUP(J507,'IU Major Match'!$D$2:$E$65,2,FALSE)</f>
        <v>Major Dont exists in IU</v>
      </c>
      <c r="L507" s="1">
        <v>76320851</v>
      </c>
      <c r="M507" s="1" t="s">
        <v>90</v>
      </c>
      <c r="N507" s="11">
        <v>99</v>
      </c>
      <c r="O507" s="11">
        <v>69</v>
      </c>
      <c r="P507" s="11">
        <v>15</v>
      </c>
      <c r="Q507" s="11">
        <v>15</v>
      </c>
      <c r="R507" s="5">
        <f t="shared" si="28"/>
        <v>0.84848484848484851</v>
      </c>
      <c r="S507" s="13" t="str">
        <f t="shared" si="29"/>
        <v>&gt;50</v>
      </c>
      <c r="T507" s="14">
        <f t="shared" si="30"/>
        <v>1</v>
      </c>
      <c r="U507" s="14">
        <f t="shared" si="31"/>
        <v>0.5</v>
      </c>
    </row>
    <row r="508" spans="1:21" x14ac:dyDescent="0.25">
      <c r="A508" s="1">
        <v>62330310</v>
      </c>
      <c r="B508" s="1">
        <v>205824</v>
      </c>
      <c r="C508" s="1" t="s">
        <v>129</v>
      </c>
      <c r="D508" s="1" t="s">
        <v>458</v>
      </c>
      <c r="E508" s="1" t="s">
        <v>640</v>
      </c>
      <c r="F508" s="1" t="s">
        <v>76</v>
      </c>
      <c r="G508" s="1" t="s">
        <v>23</v>
      </c>
      <c r="H508" s="1" t="s">
        <v>19</v>
      </c>
      <c r="I508" s="1" t="s">
        <v>237</v>
      </c>
      <c r="J508" s="1" t="s">
        <v>238</v>
      </c>
      <c r="K508" s="1" t="str">
        <f>VLOOKUP(J508,'IU Major Match'!$D$2:$E$65,2,FALSE)</f>
        <v xml:space="preserve">Major exists in IU </v>
      </c>
      <c r="L508" s="1">
        <v>71661405</v>
      </c>
      <c r="M508" s="1" t="s">
        <v>90</v>
      </c>
      <c r="N508" s="11">
        <v>108</v>
      </c>
      <c r="O508" s="11">
        <v>75</v>
      </c>
      <c r="P508" s="11">
        <v>15</v>
      </c>
      <c r="Q508" s="11">
        <v>18</v>
      </c>
      <c r="R508" s="5">
        <f t="shared" si="28"/>
        <v>0.83333333333333337</v>
      </c>
      <c r="S508" s="13" t="str">
        <f t="shared" si="29"/>
        <v>&gt;50</v>
      </c>
      <c r="T508" s="14">
        <f t="shared" si="30"/>
        <v>2</v>
      </c>
      <c r="U508" s="14">
        <f t="shared" si="31"/>
        <v>1</v>
      </c>
    </row>
    <row r="509" spans="1:21" x14ac:dyDescent="0.25">
      <c r="A509" s="1">
        <v>62110057</v>
      </c>
      <c r="B509" s="1">
        <v>164379</v>
      </c>
      <c r="C509" s="1" t="s">
        <v>129</v>
      </c>
      <c r="D509" s="1" t="s">
        <v>119</v>
      </c>
      <c r="E509" s="1" t="s">
        <v>1015</v>
      </c>
      <c r="F509" s="1" t="s">
        <v>76</v>
      </c>
      <c r="G509" s="1" t="s">
        <v>93</v>
      </c>
      <c r="H509" s="1" t="s">
        <v>19</v>
      </c>
      <c r="I509" s="1" t="s">
        <v>94</v>
      </c>
      <c r="J509" s="1" t="s">
        <v>95</v>
      </c>
      <c r="K509" s="1" t="str">
        <f>VLOOKUP(J509,'IU Major Match'!$D$2:$E$65,2,FALSE)</f>
        <v xml:space="preserve">Major exists in IU </v>
      </c>
      <c r="L509" s="1">
        <v>81416113</v>
      </c>
      <c r="M509" s="1" t="s">
        <v>162</v>
      </c>
      <c r="N509" s="11">
        <v>99</v>
      </c>
      <c r="O509" s="11">
        <v>84</v>
      </c>
      <c r="P509" s="11">
        <v>15</v>
      </c>
      <c r="Q509" s="11">
        <v>0</v>
      </c>
      <c r="R509" s="5">
        <f t="shared" si="28"/>
        <v>1</v>
      </c>
      <c r="S509" s="13" t="str">
        <f t="shared" si="29"/>
        <v>&gt;50</v>
      </c>
      <c r="T509" s="14">
        <f t="shared" si="30"/>
        <v>0</v>
      </c>
      <c r="U509" s="14">
        <f t="shared" si="31"/>
        <v>0</v>
      </c>
    </row>
    <row r="510" spans="1:21" x14ac:dyDescent="0.25">
      <c r="A510" s="1">
        <v>62530198</v>
      </c>
      <c r="B510" s="1">
        <v>223917</v>
      </c>
      <c r="C510" s="1" t="s">
        <v>129</v>
      </c>
      <c r="D510" s="1" t="s">
        <v>1016</v>
      </c>
      <c r="E510" s="1" t="s">
        <v>43</v>
      </c>
      <c r="F510" s="1" t="s">
        <v>76</v>
      </c>
      <c r="G510" s="1" t="s">
        <v>93</v>
      </c>
      <c r="H510" s="1" t="s">
        <v>19</v>
      </c>
      <c r="I510" s="1" t="s">
        <v>349</v>
      </c>
      <c r="J510" s="1" t="s">
        <v>350</v>
      </c>
      <c r="K510" s="1" t="str">
        <f>VLOOKUP(J510,'IU Major Match'!$D$2:$E$65,2,FALSE)</f>
        <v xml:space="preserve">Major exists in IU </v>
      </c>
      <c r="L510" s="1">
        <v>96170764491</v>
      </c>
      <c r="M510" s="1" t="s">
        <v>99</v>
      </c>
      <c r="N510" s="11">
        <v>99</v>
      </c>
      <c r="O510" s="11">
        <v>15</v>
      </c>
      <c r="P510" s="11">
        <v>9</v>
      </c>
      <c r="Q510" s="11">
        <v>75</v>
      </c>
      <c r="R510" s="5">
        <f t="shared" si="28"/>
        <v>0.24242424242424243</v>
      </c>
      <c r="S510" s="13" t="str">
        <f t="shared" si="29"/>
        <v>=&lt;50</v>
      </c>
      <c r="T510" s="14">
        <f t="shared" si="30"/>
        <v>5</v>
      </c>
      <c r="U510" s="14">
        <f t="shared" si="31"/>
        <v>2.5</v>
      </c>
    </row>
    <row r="511" spans="1:21" x14ac:dyDescent="0.25">
      <c r="A511" s="1">
        <v>62530015</v>
      </c>
      <c r="B511" s="1">
        <v>219052</v>
      </c>
      <c r="C511" s="1" t="s">
        <v>129</v>
      </c>
      <c r="D511" s="1" t="s">
        <v>131</v>
      </c>
      <c r="E511" s="1" t="s">
        <v>1013</v>
      </c>
      <c r="F511" s="1" t="s">
        <v>76</v>
      </c>
      <c r="G511" s="1" t="s">
        <v>18</v>
      </c>
      <c r="H511" s="1" t="s">
        <v>19</v>
      </c>
      <c r="I511" s="1" t="s">
        <v>82</v>
      </c>
      <c r="J511" s="1" t="s">
        <v>83</v>
      </c>
      <c r="K511" s="1" t="str">
        <f>VLOOKUP(J511,'IU Major Match'!$D$2:$E$65,2,FALSE)</f>
        <v>Can be Transferred to Bachelor of Engineering</v>
      </c>
      <c r="L511" s="1">
        <v>71023723</v>
      </c>
      <c r="M511" s="1" t="s">
        <v>99</v>
      </c>
      <c r="N511" s="11">
        <v>108</v>
      </c>
      <c r="O511" s="11">
        <v>3</v>
      </c>
      <c r="P511" s="11">
        <v>15</v>
      </c>
      <c r="Q511" s="11">
        <v>90</v>
      </c>
      <c r="R511" s="5">
        <f t="shared" si="28"/>
        <v>0.16666666666666666</v>
      </c>
      <c r="S511" s="13" t="str">
        <f t="shared" si="29"/>
        <v>=&lt;50</v>
      </c>
      <c r="T511" s="14">
        <f t="shared" si="30"/>
        <v>6</v>
      </c>
      <c r="U511" s="14">
        <f t="shared" si="31"/>
        <v>3</v>
      </c>
    </row>
    <row r="512" spans="1:21" x14ac:dyDescent="0.25">
      <c r="A512" s="1">
        <v>62330121</v>
      </c>
      <c r="B512" s="1">
        <v>199844</v>
      </c>
      <c r="C512" s="1" t="s">
        <v>1017</v>
      </c>
      <c r="D512" s="1" t="s">
        <v>129</v>
      </c>
      <c r="E512" s="1" t="s">
        <v>1018</v>
      </c>
      <c r="F512" s="1" t="s">
        <v>76</v>
      </c>
      <c r="G512" s="1" t="s">
        <v>93</v>
      </c>
      <c r="H512" s="1" t="s">
        <v>19</v>
      </c>
      <c r="I512" s="1" t="s">
        <v>94</v>
      </c>
      <c r="J512" s="1" t="s">
        <v>95</v>
      </c>
      <c r="K512" s="1" t="str">
        <f>VLOOKUP(J512,'IU Major Match'!$D$2:$E$65,2,FALSE)</f>
        <v xml:space="preserve">Major exists in IU </v>
      </c>
      <c r="L512" s="1">
        <v>71736830</v>
      </c>
      <c r="M512" s="1" t="s">
        <v>90</v>
      </c>
      <c r="N512" s="11">
        <v>99</v>
      </c>
      <c r="O512" s="11">
        <v>45</v>
      </c>
      <c r="P512" s="11">
        <v>18</v>
      </c>
      <c r="Q512" s="11">
        <v>36</v>
      </c>
      <c r="R512" s="5">
        <f t="shared" si="28"/>
        <v>0.63636363636363635</v>
      </c>
      <c r="S512" s="13" t="str">
        <f t="shared" si="29"/>
        <v>&gt;50</v>
      </c>
      <c r="T512" s="14">
        <f t="shared" si="30"/>
        <v>3</v>
      </c>
      <c r="U512" s="14">
        <f t="shared" si="31"/>
        <v>1.5</v>
      </c>
    </row>
    <row r="513" spans="1:21" x14ac:dyDescent="0.25">
      <c r="A513" s="1">
        <v>62230221</v>
      </c>
      <c r="B513" s="1">
        <v>189181</v>
      </c>
      <c r="C513" s="1" t="s">
        <v>1019</v>
      </c>
      <c r="D513" s="1" t="s">
        <v>1020</v>
      </c>
      <c r="E513" s="1" t="s">
        <v>247</v>
      </c>
      <c r="F513" s="1" t="s">
        <v>76</v>
      </c>
      <c r="G513" s="1" t="s">
        <v>23</v>
      </c>
      <c r="H513" s="1" t="s">
        <v>19</v>
      </c>
      <c r="I513" s="1" t="s">
        <v>151</v>
      </c>
      <c r="J513" s="1" t="s">
        <v>152</v>
      </c>
      <c r="K513" s="1" t="str">
        <f>VLOOKUP(J513,'IU Major Match'!$D$2:$E$65,2,FALSE)</f>
        <v>Major Dont exists in IU</v>
      </c>
      <c r="L513" s="1">
        <v>76551353</v>
      </c>
      <c r="M513" s="1" t="s">
        <v>153</v>
      </c>
      <c r="N513" s="11">
        <v>105</v>
      </c>
      <c r="O513" s="11">
        <v>96</v>
      </c>
      <c r="P513" s="11">
        <v>9</v>
      </c>
      <c r="Q513" s="11">
        <v>0</v>
      </c>
      <c r="R513" s="5">
        <f t="shared" si="28"/>
        <v>1</v>
      </c>
      <c r="S513" s="13" t="str">
        <f t="shared" si="29"/>
        <v>&gt;50</v>
      </c>
      <c r="T513" s="14">
        <f t="shared" si="30"/>
        <v>0</v>
      </c>
      <c r="U513" s="14">
        <f t="shared" si="31"/>
        <v>0</v>
      </c>
    </row>
    <row r="514" spans="1:21" x14ac:dyDescent="0.25">
      <c r="A514" s="1">
        <v>62330182</v>
      </c>
      <c r="B514" s="1">
        <v>201175</v>
      </c>
      <c r="C514" s="1" t="s">
        <v>1021</v>
      </c>
      <c r="D514" s="1" t="s">
        <v>43</v>
      </c>
      <c r="E514" s="1" t="s">
        <v>1022</v>
      </c>
      <c r="F514" s="1" t="s">
        <v>76</v>
      </c>
      <c r="G514" s="1" t="s">
        <v>23</v>
      </c>
      <c r="H514" s="1" t="s">
        <v>19</v>
      </c>
      <c r="I514" s="1" t="s">
        <v>151</v>
      </c>
      <c r="J514" s="1" t="s">
        <v>152</v>
      </c>
      <c r="K514" s="1" t="str">
        <f>VLOOKUP(J514,'IU Major Match'!$D$2:$E$65,2,FALSE)</f>
        <v>Major Dont exists in IU</v>
      </c>
      <c r="L514" s="1">
        <v>70254832</v>
      </c>
      <c r="M514" s="1" t="s">
        <v>90</v>
      </c>
      <c r="N514" s="11">
        <v>105</v>
      </c>
      <c r="O514" s="11">
        <v>65</v>
      </c>
      <c r="P514" s="11">
        <v>12</v>
      </c>
      <c r="Q514" s="11">
        <v>28</v>
      </c>
      <c r="R514" s="5">
        <f t="shared" si="28"/>
        <v>0.73333333333333328</v>
      </c>
      <c r="S514" s="13" t="str">
        <f t="shared" si="29"/>
        <v>&gt;50</v>
      </c>
      <c r="T514" s="14">
        <f t="shared" si="30"/>
        <v>2</v>
      </c>
      <c r="U514" s="14">
        <f t="shared" si="31"/>
        <v>1</v>
      </c>
    </row>
    <row r="515" spans="1:21" x14ac:dyDescent="0.25">
      <c r="A515" s="1">
        <v>62230205</v>
      </c>
      <c r="B515" s="1">
        <v>188155</v>
      </c>
      <c r="C515" s="1" t="s">
        <v>1023</v>
      </c>
      <c r="D515" s="1" t="s">
        <v>1024</v>
      </c>
      <c r="E515" s="1" t="s">
        <v>1025</v>
      </c>
      <c r="F515" s="1" t="s">
        <v>76</v>
      </c>
      <c r="G515" s="1" t="s">
        <v>23</v>
      </c>
      <c r="H515" s="1" t="s">
        <v>19</v>
      </c>
      <c r="I515" s="1" t="s">
        <v>116</v>
      </c>
      <c r="J515" s="1" t="s">
        <v>117</v>
      </c>
      <c r="K515" s="1" t="str">
        <f>VLOOKUP(J515,'IU Major Match'!$D$2:$E$65,2,FALSE)</f>
        <v>Major Dont exists in IU</v>
      </c>
      <c r="L515" s="1">
        <v>96181895656</v>
      </c>
      <c r="M515" s="1" t="s">
        <v>153</v>
      </c>
      <c r="N515" s="11">
        <v>99</v>
      </c>
      <c r="O515" s="11">
        <v>86</v>
      </c>
      <c r="P515" s="11">
        <v>13</v>
      </c>
      <c r="Q515" s="11">
        <v>0</v>
      </c>
      <c r="R515" s="5">
        <f t="shared" ref="R515:R578" si="32">(O515+P515)/N515</f>
        <v>1</v>
      </c>
      <c r="S515" s="13" t="str">
        <f t="shared" ref="S515:S578" si="33">IF(R515&lt;=50%,"=&lt;50","&gt;50")</f>
        <v>&gt;50</v>
      </c>
      <c r="T515" s="14">
        <f t="shared" ref="T515:T578" si="34">ROUNDUP(Q515/15,0)</f>
        <v>0</v>
      </c>
      <c r="U515" s="14">
        <f t="shared" ref="U515:U578" si="35">T515/2</f>
        <v>0</v>
      </c>
    </row>
    <row r="516" spans="1:21" x14ac:dyDescent="0.25">
      <c r="A516" s="1">
        <v>61830211</v>
      </c>
      <c r="B516" s="1">
        <v>131028</v>
      </c>
      <c r="C516" s="1" t="s">
        <v>1026</v>
      </c>
      <c r="D516" s="1" t="s">
        <v>261</v>
      </c>
      <c r="E516" s="1" t="s">
        <v>1027</v>
      </c>
      <c r="F516" s="1" t="s">
        <v>76</v>
      </c>
      <c r="G516" s="1" t="s">
        <v>23</v>
      </c>
      <c r="H516" s="1" t="s">
        <v>19</v>
      </c>
      <c r="I516" s="1" t="s">
        <v>116</v>
      </c>
      <c r="J516" s="1" t="s">
        <v>117</v>
      </c>
      <c r="K516" s="1" t="str">
        <f>VLOOKUP(J516,'IU Major Match'!$D$2:$E$65,2,FALSE)</f>
        <v>Major Dont exists in IU</v>
      </c>
      <c r="L516" s="1">
        <v>79153459</v>
      </c>
      <c r="M516" s="1" t="s">
        <v>56</v>
      </c>
      <c r="N516" s="11">
        <v>99</v>
      </c>
      <c r="O516" s="11">
        <v>80</v>
      </c>
      <c r="P516" s="11">
        <v>9</v>
      </c>
      <c r="Q516" s="11">
        <v>10</v>
      </c>
      <c r="R516" s="5">
        <f t="shared" si="32"/>
        <v>0.89898989898989901</v>
      </c>
      <c r="S516" s="13" t="str">
        <f t="shared" si="33"/>
        <v>&gt;50</v>
      </c>
      <c r="T516" s="14">
        <f t="shared" si="34"/>
        <v>1</v>
      </c>
      <c r="U516" s="14">
        <f t="shared" si="35"/>
        <v>0.5</v>
      </c>
    </row>
    <row r="517" spans="1:21" x14ac:dyDescent="0.25">
      <c r="A517" s="1">
        <v>62330331</v>
      </c>
      <c r="B517" s="1">
        <v>206230</v>
      </c>
      <c r="C517" s="1" t="s">
        <v>1028</v>
      </c>
      <c r="D517" s="1" t="s">
        <v>325</v>
      </c>
      <c r="E517" s="1" t="s">
        <v>690</v>
      </c>
      <c r="F517" s="1" t="s">
        <v>76</v>
      </c>
      <c r="G517" s="1" t="s">
        <v>23</v>
      </c>
      <c r="H517" s="1" t="s">
        <v>19</v>
      </c>
      <c r="I517" s="1" t="s">
        <v>159</v>
      </c>
      <c r="J517" s="1" t="s">
        <v>160</v>
      </c>
      <c r="K517" s="1" t="str">
        <f>VLOOKUP(J517,'IU Major Match'!$D$2:$E$65,2,FALSE)</f>
        <v xml:space="preserve">Major exists in IU </v>
      </c>
      <c r="L517" s="1">
        <v>76577585</v>
      </c>
      <c r="M517" s="1" t="s">
        <v>90</v>
      </c>
      <c r="N517" s="11">
        <v>99</v>
      </c>
      <c r="O517" s="11">
        <v>9</v>
      </c>
      <c r="P517" s="11">
        <v>12</v>
      </c>
      <c r="Q517" s="11">
        <v>78</v>
      </c>
      <c r="R517" s="5">
        <f t="shared" si="32"/>
        <v>0.21212121212121213</v>
      </c>
      <c r="S517" s="13" t="str">
        <f t="shared" si="33"/>
        <v>=&lt;50</v>
      </c>
      <c r="T517" s="14">
        <f t="shared" si="34"/>
        <v>6</v>
      </c>
      <c r="U517" s="14">
        <f t="shared" si="35"/>
        <v>3</v>
      </c>
    </row>
    <row r="518" spans="1:21" x14ac:dyDescent="0.25">
      <c r="A518" s="1">
        <v>62430144</v>
      </c>
      <c r="B518" s="1">
        <v>220451</v>
      </c>
      <c r="C518" s="1" t="s">
        <v>1028</v>
      </c>
      <c r="D518" s="1" t="s">
        <v>149</v>
      </c>
      <c r="E518" s="1" t="s">
        <v>1029</v>
      </c>
      <c r="F518" s="1" t="s">
        <v>76</v>
      </c>
      <c r="G518" s="1" t="s">
        <v>93</v>
      </c>
      <c r="H518" s="1" t="s">
        <v>19</v>
      </c>
      <c r="I518" s="1" t="s">
        <v>216</v>
      </c>
      <c r="J518" s="1" t="s">
        <v>217</v>
      </c>
      <c r="K518" s="1" t="str">
        <f>VLOOKUP(J518,'IU Major Match'!$D$2:$E$65,2,FALSE)</f>
        <v xml:space="preserve">Major exists in IU </v>
      </c>
      <c r="L518" s="1">
        <v>96176334963</v>
      </c>
      <c r="M518" s="1" t="s">
        <v>99</v>
      </c>
      <c r="N518" s="11">
        <v>99</v>
      </c>
      <c r="O518" s="11">
        <v>0</v>
      </c>
      <c r="P518" s="11">
        <v>9</v>
      </c>
      <c r="Q518" s="11">
        <v>9</v>
      </c>
      <c r="R518" s="5">
        <f t="shared" si="32"/>
        <v>9.0909090909090912E-2</v>
      </c>
      <c r="S518" s="13" t="str">
        <f t="shared" si="33"/>
        <v>=&lt;50</v>
      </c>
      <c r="T518" s="14">
        <f t="shared" si="34"/>
        <v>1</v>
      </c>
      <c r="U518" s="14">
        <f t="shared" si="35"/>
        <v>0.5</v>
      </c>
    </row>
    <row r="519" spans="1:21" x14ac:dyDescent="0.25">
      <c r="A519" s="1">
        <v>62530235</v>
      </c>
      <c r="B519" s="1">
        <v>224938</v>
      </c>
      <c r="C519" s="1" t="s">
        <v>16</v>
      </c>
      <c r="D519" s="1" t="s">
        <v>1030</v>
      </c>
      <c r="E519" s="1" t="s">
        <v>1031</v>
      </c>
      <c r="F519" s="1" t="s">
        <v>76</v>
      </c>
      <c r="G519" s="1" t="s">
        <v>23</v>
      </c>
      <c r="H519" s="1" t="s">
        <v>19</v>
      </c>
      <c r="I519" s="1" t="s">
        <v>142</v>
      </c>
      <c r="J519" s="1" t="s">
        <v>143</v>
      </c>
      <c r="K519" s="1" t="str">
        <f>VLOOKUP(J519,'IU Major Match'!$D$2:$E$65,2,FALSE)</f>
        <v xml:space="preserve">Major exists in IU </v>
      </c>
      <c r="L519" s="1">
        <v>71980654</v>
      </c>
      <c r="M519" s="1" t="s">
        <v>99</v>
      </c>
      <c r="N519" s="11">
        <v>99</v>
      </c>
      <c r="O519" s="11">
        <v>15</v>
      </c>
      <c r="P519" s="11">
        <v>13</v>
      </c>
      <c r="Q519" s="11">
        <v>79</v>
      </c>
      <c r="R519" s="5">
        <f t="shared" si="32"/>
        <v>0.28282828282828282</v>
      </c>
      <c r="S519" s="13" t="str">
        <f t="shared" si="33"/>
        <v>=&lt;50</v>
      </c>
      <c r="T519" s="14">
        <f t="shared" si="34"/>
        <v>6</v>
      </c>
      <c r="U519" s="14">
        <f t="shared" si="35"/>
        <v>3</v>
      </c>
    </row>
    <row r="520" spans="1:21" x14ac:dyDescent="0.25">
      <c r="A520" s="1">
        <v>62510040</v>
      </c>
      <c r="B520" s="1">
        <v>217947</v>
      </c>
      <c r="C520" s="1" t="s">
        <v>16</v>
      </c>
      <c r="D520" s="1" t="s">
        <v>325</v>
      </c>
      <c r="E520" s="1" t="s">
        <v>1032</v>
      </c>
      <c r="F520" s="1" t="s">
        <v>76</v>
      </c>
      <c r="G520" s="1" t="s">
        <v>93</v>
      </c>
      <c r="H520" s="1" t="s">
        <v>19</v>
      </c>
      <c r="I520" s="1" t="s">
        <v>124</v>
      </c>
      <c r="J520" s="1" t="s">
        <v>125</v>
      </c>
      <c r="K520" s="1" t="str">
        <f>VLOOKUP(J520,'IU Major Match'!$D$2:$E$65,2,FALSE)</f>
        <v xml:space="preserve">Major exists in IU </v>
      </c>
      <c r="L520" s="1">
        <v>76431355</v>
      </c>
      <c r="M520" s="1" t="s">
        <v>242</v>
      </c>
      <c r="N520" s="11">
        <v>99</v>
      </c>
      <c r="O520" s="11">
        <v>21</v>
      </c>
      <c r="P520" s="11">
        <v>12</v>
      </c>
      <c r="Q520" s="11">
        <v>66</v>
      </c>
      <c r="R520" s="5">
        <f t="shared" si="32"/>
        <v>0.33333333333333331</v>
      </c>
      <c r="S520" s="13" t="str">
        <f t="shared" si="33"/>
        <v>=&lt;50</v>
      </c>
      <c r="T520" s="14">
        <f t="shared" si="34"/>
        <v>5</v>
      </c>
      <c r="U520" s="14">
        <f t="shared" si="35"/>
        <v>2.5</v>
      </c>
    </row>
    <row r="521" spans="1:21" x14ac:dyDescent="0.25">
      <c r="A521" s="1">
        <v>62530221</v>
      </c>
      <c r="B521" s="1">
        <v>224893</v>
      </c>
      <c r="C521" s="1" t="s">
        <v>16</v>
      </c>
      <c r="D521" s="1" t="s">
        <v>27</v>
      </c>
      <c r="E521" s="1" t="s">
        <v>1033</v>
      </c>
      <c r="F521" s="1" t="s">
        <v>76</v>
      </c>
      <c r="G521" s="1" t="s">
        <v>23</v>
      </c>
      <c r="H521" s="1" t="s">
        <v>19</v>
      </c>
      <c r="I521" s="1" t="s">
        <v>142</v>
      </c>
      <c r="J521" s="1" t="s">
        <v>143</v>
      </c>
      <c r="K521" s="1" t="str">
        <f>VLOOKUP(J521,'IU Major Match'!$D$2:$E$65,2,FALSE)</f>
        <v xml:space="preserve">Major exists in IU </v>
      </c>
      <c r="L521" s="1">
        <v>70313371</v>
      </c>
      <c r="M521" s="1" t="s">
        <v>99</v>
      </c>
      <c r="N521" s="11">
        <v>99</v>
      </c>
      <c r="O521" s="11">
        <v>24</v>
      </c>
      <c r="P521" s="11">
        <v>15</v>
      </c>
      <c r="Q521" s="11">
        <v>60</v>
      </c>
      <c r="R521" s="5">
        <f t="shared" si="32"/>
        <v>0.39393939393939392</v>
      </c>
      <c r="S521" s="13" t="str">
        <f t="shared" si="33"/>
        <v>=&lt;50</v>
      </c>
      <c r="T521" s="14">
        <f t="shared" si="34"/>
        <v>4</v>
      </c>
      <c r="U521" s="14">
        <f t="shared" si="35"/>
        <v>2</v>
      </c>
    </row>
    <row r="522" spans="1:21" x14ac:dyDescent="0.25">
      <c r="A522" s="1">
        <v>62230262</v>
      </c>
      <c r="B522" s="1">
        <v>189188</v>
      </c>
      <c r="C522" s="1" t="s">
        <v>16</v>
      </c>
      <c r="D522" s="1" t="s">
        <v>49</v>
      </c>
      <c r="E522" s="1" t="s">
        <v>1034</v>
      </c>
      <c r="F522" s="1" t="s">
        <v>76</v>
      </c>
      <c r="G522" s="1" t="s">
        <v>18</v>
      </c>
      <c r="H522" s="1" t="s">
        <v>19</v>
      </c>
      <c r="I522" s="1" t="s">
        <v>82</v>
      </c>
      <c r="J522" s="1" t="s">
        <v>83</v>
      </c>
      <c r="K522" s="1" t="str">
        <f>VLOOKUP(J522,'IU Major Match'!$D$2:$E$65,2,FALSE)</f>
        <v>Can be Transferred to Bachelor of Engineering</v>
      </c>
      <c r="L522" s="1">
        <v>70295104</v>
      </c>
      <c r="M522" s="1" t="s">
        <v>153</v>
      </c>
      <c r="N522" s="11">
        <v>108</v>
      </c>
      <c r="O522" s="11">
        <v>55</v>
      </c>
      <c r="P522" s="11">
        <v>12</v>
      </c>
      <c r="Q522" s="11">
        <v>41</v>
      </c>
      <c r="R522" s="5">
        <f t="shared" si="32"/>
        <v>0.62037037037037035</v>
      </c>
      <c r="S522" s="13" t="str">
        <f t="shared" si="33"/>
        <v>&gt;50</v>
      </c>
      <c r="T522" s="14">
        <f t="shared" si="34"/>
        <v>3</v>
      </c>
      <c r="U522" s="14">
        <f t="shared" si="35"/>
        <v>1.5</v>
      </c>
    </row>
    <row r="523" spans="1:21" x14ac:dyDescent="0.25">
      <c r="A523" s="1">
        <v>62310052</v>
      </c>
      <c r="B523" s="1">
        <v>208861</v>
      </c>
      <c r="C523" s="1" t="s">
        <v>1035</v>
      </c>
      <c r="D523" s="1" t="s">
        <v>509</v>
      </c>
      <c r="E523" s="1" t="s">
        <v>1036</v>
      </c>
      <c r="F523" s="1" t="s">
        <v>76</v>
      </c>
      <c r="G523" s="1" t="s">
        <v>23</v>
      </c>
      <c r="H523" s="1" t="s">
        <v>19</v>
      </c>
      <c r="I523" s="1" t="s">
        <v>88</v>
      </c>
      <c r="J523" s="1" t="s">
        <v>89</v>
      </c>
      <c r="K523" s="1" t="str">
        <f>VLOOKUP(J523,'IU Major Match'!$D$2:$E$65,2,FALSE)</f>
        <v xml:space="preserve">Major exists in IU </v>
      </c>
      <c r="L523" s="1">
        <v>71965921</v>
      </c>
      <c r="M523" s="1" t="s">
        <v>362</v>
      </c>
      <c r="N523" s="11">
        <v>99</v>
      </c>
      <c r="O523" s="11">
        <v>52</v>
      </c>
      <c r="P523" s="11">
        <v>13</v>
      </c>
      <c r="Q523" s="11">
        <v>0</v>
      </c>
      <c r="R523" s="5">
        <f t="shared" si="32"/>
        <v>0.65656565656565657</v>
      </c>
      <c r="S523" s="13" t="str">
        <f t="shared" si="33"/>
        <v>&gt;50</v>
      </c>
      <c r="T523" s="14">
        <f t="shared" si="34"/>
        <v>0</v>
      </c>
      <c r="U523" s="14">
        <f t="shared" si="35"/>
        <v>0</v>
      </c>
    </row>
    <row r="524" spans="1:21" x14ac:dyDescent="0.25">
      <c r="A524" s="1">
        <v>62030278</v>
      </c>
      <c r="B524" s="1">
        <v>158324</v>
      </c>
      <c r="C524" s="1" t="s">
        <v>21</v>
      </c>
      <c r="D524" s="1" t="s">
        <v>707</v>
      </c>
      <c r="E524" s="1" t="s">
        <v>106</v>
      </c>
      <c r="F524" s="1" t="s">
        <v>76</v>
      </c>
      <c r="G524" s="1" t="s">
        <v>18</v>
      </c>
      <c r="H524" s="1" t="s">
        <v>19</v>
      </c>
      <c r="I524" s="1" t="s">
        <v>82</v>
      </c>
      <c r="J524" s="1" t="s">
        <v>83</v>
      </c>
      <c r="K524" s="1" t="str">
        <f>VLOOKUP(J524,'IU Major Match'!$D$2:$E$65,2,FALSE)</f>
        <v>Can be Transferred to Bachelor of Engineering</v>
      </c>
      <c r="L524" s="1">
        <v>76163408</v>
      </c>
      <c r="M524" s="1" t="s">
        <v>51</v>
      </c>
      <c r="N524" s="11">
        <v>108</v>
      </c>
      <c r="O524" s="11">
        <v>79</v>
      </c>
      <c r="P524" s="11">
        <v>5</v>
      </c>
      <c r="Q524" s="11">
        <v>24</v>
      </c>
      <c r="R524" s="5">
        <f t="shared" si="32"/>
        <v>0.77777777777777779</v>
      </c>
      <c r="S524" s="13" t="str">
        <f t="shared" si="33"/>
        <v>&gt;50</v>
      </c>
      <c r="T524" s="14">
        <f t="shared" si="34"/>
        <v>2</v>
      </c>
      <c r="U524" s="14">
        <f t="shared" si="35"/>
        <v>1</v>
      </c>
    </row>
    <row r="525" spans="1:21" x14ac:dyDescent="0.25">
      <c r="A525" s="1">
        <v>62430117</v>
      </c>
      <c r="B525" s="1">
        <v>211489</v>
      </c>
      <c r="C525" s="1" t="s">
        <v>21</v>
      </c>
      <c r="D525" s="1" t="s">
        <v>92</v>
      </c>
      <c r="E525" s="1" t="s">
        <v>1037</v>
      </c>
      <c r="F525" s="1" t="s">
        <v>76</v>
      </c>
      <c r="G525" s="1" t="s">
        <v>23</v>
      </c>
      <c r="H525" s="1" t="s">
        <v>19</v>
      </c>
      <c r="I525" s="1" t="s">
        <v>103</v>
      </c>
      <c r="J525" s="1" t="s">
        <v>104</v>
      </c>
      <c r="K525" s="1" t="str">
        <f>VLOOKUP(J525,'IU Major Match'!$D$2:$E$65,2,FALSE)</f>
        <v xml:space="preserve">Major exists in IU </v>
      </c>
      <c r="L525" s="1">
        <v>96171304296</v>
      </c>
      <c r="M525" s="1" t="s">
        <v>113</v>
      </c>
      <c r="N525" s="11">
        <v>100</v>
      </c>
      <c r="O525" s="11">
        <v>38</v>
      </c>
      <c r="P525" s="11">
        <v>15</v>
      </c>
      <c r="Q525" s="11">
        <v>47</v>
      </c>
      <c r="R525" s="5">
        <f t="shared" si="32"/>
        <v>0.53</v>
      </c>
      <c r="S525" s="13" t="str">
        <f t="shared" si="33"/>
        <v>&gt;50</v>
      </c>
      <c r="T525" s="14">
        <f t="shared" si="34"/>
        <v>4</v>
      </c>
      <c r="U525" s="14">
        <f t="shared" si="35"/>
        <v>2</v>
      </c>
    </row>
    <row r="526" spans="1:21" x14ac:dyDescent="0.25">
      <c r="A526" s="1">
        <v>62530263</v>
      </c>
      <c r="B526" s="1">
        <v>226026</v>
      </c>
      <c r="C526" s="1" t="s">
        <v>21</v>
      </c>
      <c r="D526" s="1" t="s">
        <v>751</v>
      </c>
      <c r="E526" s="1" t="s">
        <v>28</v>
      </c>
      <c r="F526" s="1" t="s">
        <v>76</v>
      </c>
      <c r="G526" s="1" t="s">
        <v>93</v>
      </c>
      <c r="H526" s="1" t="s">
        <v>19</v>
      </c>
      <c r="I526" s="1" t="s">
        <v>216</v>
      </c>
      <c r="J526" s="1" t="s">
        <v>217</v>
      </c>
      <c r="K526" s="1" t="str">
        <f>VLOOKUP(J526,'IU Major Match'!$D$2:$E$65,2,FALSE)</f>
        <v xml:space="preserve">Major exists in IU </v>
      </c>
      <c r="L526" s="1">
        <v>3157857</v>
      </c>
      <c r="M526" s="1" t="s">
        <v>99</v>
      </c>
      <c r="N526" s="11">
        <v>99</v>
      </c>
      <c r="O526" s="11">
        <v>9</v>
      </c>
      <c r="P526" s="11">
        <v>13</v>
      </c>
      <c r="Q526" s="11">
        <v>81</v>
      </c>
      <c r="R526" s="5">
        <f t="shared" si="32"/>
        <v>0.22222222222222221</v>
      </c>
      <c r="S526" s="13" t="str">
        <f t="shared" si="33"/>
        <v>=&lt;50</v>
      </c>
      <c r="T526" s="14">
        <f t="shared" si="34"/>
        <v>6</v>
      </c>
      <c r="U526" s="14">
        <f t="shared" si="35"/>
        <v>3</v>
      </c>
    </row>
    <row r="527" spans="1:21" x14ac:dyDescent="0.25">
      <c r="A527" s="1">
        <v>62230142</v>
      </c>
      <c r="B527" s="1">
        <v>186427</v>
      </c>
      <c r="C527" s="1" t="s">
        <v>1038</v>
      </c>
      <c r="D527" s="1" t="s">
        <v>46</v>
      </c>
      <c r="E527" s="1" t="s">
        <v>1039</v>
      </c>
      <c r="F527" s="1" t="s">
        <v>76</v>
      </c>
      <c r="G527" s="1" t="s">
        <v>23</v>
      </c>
      <c r="H527" s="1" t="s">
        <v>19</v>
      </c>
      <c r="I527" s="1" t="s">
        <v>103</v>
      </c>
      <c r="J527" s="1" t="s">
        <v>104</v>
      </c>
      <c r="K527" s="1" t="str">
        <f>VLOOKUP(J527,'IU Major Match'!$D$2:$E$65,2,FALSE)</f>
        <v xml:space="preserve">Major exists in IU </v>
      </c>
      <c r="L527" s="1">
        <v>96171457713</v>
      </c>
      <c r="M527" s="1" t="s">
        <v>153</v>
      </c>
      <c r="N527" s="11">
        <v>100</v>
      </c>
      <c r="O527" s="11">
        <v>34</v>
      </c>
      <c r="P527" s="11">
        <v>11</v>
      </c>
      <c r="Q527" s="11">
        <v>59</v>
      </c>
      <c r="R527" s="5">
        <f t="shared" si="32"/>
        <v>0.45</v>
      </c>
      <c r="S527" s="13" t="str">
        <f t="shared" si="33"/>
        <v>=&lt;50</v>
      </c>
      <c r="T527" s="14">
        <f t="shared" si="34"/>
        <v>4</v>
      </c>
      <c r="U527" s="14">
        <f t="shared" si="35"/>
        <v>2</v>
      </c>
    </row>
    <row r="528" spans="1:21" x14ac:dyDescent="0.25">
      <c r="A528" s="1">
        <v>62130253</v>
      </c>
      <c r="B528" s="1">
        <v>171256</v>
      </c>
      <c r="C528" s="1" t="s">
        <v>1040</v>
      </c>
      <c r="D528" s="1" t="s">
        <v>975</v>
      </c>
      <c r="E528" s="1" t="s">
        <v>49</v>
      </c>
      <c r="F528" s="1" t="s">
        <v>76</v>
      </c>
      <c r="G528" s="1" t="s">
        <v>23</v>
      </c>
      <c r="H528" s="1" t="s">
        <v>19</v>
      </c>
      <c r="I528" s="1" t="s">
        <v>103</v>
      </c>
      <c r="J528" s="1" t="s">
        <v>104</v>
      </c>
      <c r="K528" s="1" t="str">
        <f>VLOOKUP(J528,'IU Major Match'!$D$2:$E$65,2,FALSE)</f>
        <v xml:space="preserve">Major exists in IU </v>
      </c>
      <c r="L528" s="1">
        <v>96181856414</v>
      </c>
      <c r="M528" s="1" t="s">
        <v>79</v>
      </c>
      <c r="N528" s="11">
        <v>100</v>
      </c>
      <c r="O528" s="11">
        <v>60</v>
      </c>
      <c r="P528" s="11">
        <v>9</v>
      </c>
      <c r="Q528" s="11">
        <v>31</v>
      </c>
      <c r="R528" s="5">
        <f t="shared" si="32"/>
        <v>0.69</v>
      </c>
      <c r="S528" s="13" t="str">
        <f t="shared" si="33"/>
        <v>&gt;50</v>
      </c>
      <c r="T528" s="14">
        <f t="shared" si="34"/>
        <v>3</v>
      </c>
      <c r="U528" s="14">
        <f t="shared" si="35"/>
        <v>1.5</v>
      </c>
    </row>
    <row r="529" spans="1:21" x14ac:dyDescent="0.25">
      <c r="A529" s="1">
        <v>62330300</v>
      </c>
      <c r="B529" s="1">
        <v>206568</v>
      </c>
      <c r="C529" s="1" t="s">
        <v>1041</v>
      </c>
      <c r="D529" s="1" t="s">
        <v>42</v>
      </c>
      <c r="E529" s="1" t="s">
        <v>1042</v>
      </c>
      <c r="F529" s="1" t="s">
        <v>76</v>
      </c>
      <c r="G529" s="1" t="s">
        <v>23</v>
      </c>
      <c r="H529" s="1" t="s">
        <v>19</v>
      </c>
      <c r="I529" s="1" t="s">
        <v>159</v>
      </c>
      <c r="J529" s="1" t="s">
        <v>160</v>
      </c>
      <c r="K529" s="1" t="str">
        <f>VLOOKUP(J529,'IU Major Match'!$D$2:$E$65,2,FALSE)</f>
        <v xml:space="preserve">Major exists in IU </v>
      </c>
      <c r="L529" s="1">
        <v>3589991</v>
      </c>
      <c r="M529" s="1" t="s">
        <v>90</v>
      </c>
      <c r="N529" s="11">
        <v>99</v>
      </c>
      <c r="O529" s="11">
        <v>84</v>
      </c>
      <c r="P529" s="11">
        <v>15</v>
      </c>
      <c r="Q529" s="11">
        <v>0</v>
      </c>
      <c r="R529" s="5">
        <f t="shared" si="32"/>
        <v>1</v>
      </c>
      <c r="S529" s="13" t="str">
        <f t="shared" si="33"/>
        <v>&gt;50</v>
      </c>
      <c r="T529" s="14">
        <f t="shared" si="34"/>
        <v>0</v>
      </c>
      <c r="U529" s="14">
        <f t="shared" si="35"/>
        <v>0</v>
      </c>
    </row>
    <row r="530" spans="1:21" x14ac:dyDescent="0.25">
      <c r="A530" s="1">
        <v>62330149</v>
      </c>
      <c r="B530" s="1">
        <v>200556</v>
      </c>
      <c r="C530" s="1" t="s">
        <v>1043</v>
      </c>
      <c r="D530" s="1" t="s">
        <v>691</v>
      </c>
      <c r="E530" s="1" t="s">
        <v>1044</v>
      </c>
      <c r="F530" s="1" t="s">
        <v>76</v>
      </c>
      <c r="G530" s="1" t="s">
        <v>23</v>
      </c>
      <c r="H530" s="1" t="s">
        <v>19</v>
      </c>
      <c r="I530" s="1" t="s">
        <v>1045</v>
      </c>
      <c r="J530" s="1" t="s">
        <v>1046</v>
      </c>
      <c r="K530" s="1" t="str">
        <f>VLOOKUP(J530,'IU Major Match'!$D$2:$E$65,2,FALSE)</f>
        <v>Major Dont exists in IU</v>
      </c>
      <c r="L530" s="1">
        <v>71062900</v>
      </c>
      <c r="M530" s="1" t="s">
        <v>90</v>
      </c>
      <c r="N530" s="11">
        <v>99</v>
      </c>
      <c r="O530" s="11">
        <v>24</v>
      </c>
      <c r="P530" s="11">
        <v>10</v>
      </c>
      <c r="Q530" s="11">
        <v>68</v>
      </c>
      <c r="R530" s="5">
        <f t="shared" si="32"/>
        <v>0.34343434343434343</v>
      </c>
      <c r="S530" s="13" t="str">
        <f t="shared" si="33"/>
        <v>=&lt;50</v>
      </c>
      <c r="T530" s="14">
        <f t="shared" si="34"/>
        <v>5</v>
      </c>
      <c r="U530" s="14">
        <f t="shared" si="35"/>
        <v>2.5</v>
      </c>
    </row>
    <row r="531" spans="1:21" x14ac:dyDescent="0.25">
      <c r="A531" s="1">
        <v>62510003</v>
      </c>
      <c r="B531" s="1">
        <v>217788</v>
      </c>
      <c r="C531" s="1" t="s">
        <v>1043</v>
      </c>
      <c r="D531" s="1" t="s">
        <v>1047</v>
      </c>
      <c r="E531" s="1" t="s">
        <v>1048</v>
      </c>
      <c r="F531" s="1" t="s">
        <v>76</v>
      </c>
      <c r="G531" s="1" t="s">
        <v>93</v>
      </c>
      <c r="H531" s="1" t="s">
        <v>19</v>
      </c>
      <c r="I531" s="1" t="s">
        <v>349</v>
      </c>
      <c r="J531" s="1" t="s">
        <v>350</v>
      </c>
      <c r="K531" s="1" t="str">
        <f>VLOOKUP(J531,'IU Major Match'!$D$2:$E$65,2,FALSE)</f>
        <v xml:space="preserve">Major exists in IU </v>
      </c>
      <c r="L531" s="1">
        <v>96171825477</v>
      </c>
      <c r="M531" s="1" t="s">
        <v>242</v>
      </c>
      <c r="N531" s="11">
        <v>99</v>
      </c>
      <c r="O531" s="11">
        <v>6</v>
      </c>
      <c r="P531" s="11">
        <v>15</v>
      </c>
      <c r="Q531" s="11">
        <v>78</v>
      </c>
      <c r="R531" s="5">
        <f t="shared" si="32"/>
        <v>0.21212121212121213</v>
      </c>
      <c r="S531" s="13" t="str">
        <f t="shared" si="33"/>
        <v>=&lt;50</v>
      </c>
      <c r="T531" s="14">
        <f t="shared" si="34"/>
        <v>6</v>
      </c>
      <c r="U531" s="14">
        <f t="shared" si="35"/>
        <v>3</v>
      </c>
    </row>
    <row r="532" spans="1:21" x14ac:dyDescent="0.25">
      <c r="A532" s="1">
        <v>62230226</v>
      </c>
      <c r="B532" s="1">
        <v>189162</v>
      </c>
      <c r="C532" s="1" t="s">
        <v>1049</v>
      </c>
      <c r="D532" s="1" t="s">
        <v>367</v>
      </c>
      <c r="E532" s="1" t="s">
        <v>1050</v>
      </c>
      <c r="F532" s="1" t="s">
        <v>76</v>
      </c>
      <c r="G532" s="1" t="s">
        <v>23</v>
      </c>
      <c r="H532" s="1" t="s">
        <v>19</v>
      </c>
      <c r="I532" s="1" t="s">
        <v>151</v>
      </c>
      <c r="J532" s="1" t="s">
        <v>152</v>
      </c>
      <c r="K532" s="1" t="str">
        <f>VLOOKUP(J532,'IU Major Match'!$D$2:$E$65,2,FALSE)</f>
        <v>Major Dont exists in IU</v>
      </c>
      <c r="L532" s="1">
        <v>96176769653</v>
      </c>
      <c r="M532" s="1" t="s">
        <v>153</v>
      </c>
      <c r="N532" s="11">
        <v>105</v>
      </c>
      <c r="O532" s="11">
        <v>61</v>
      </c>
      <c r="P532" s="11">
        <v>13</v>
      </c>
      <c r="Q532" s="11">
        <v>31</v>
      </c>
      <c r="R532" s="5">
        <f t="shared" si="32"/>
        <v>0.70476190476190481</v>
      </c>
      <c r="S532" s="13" t="str">
        <f t="shared" si="33"/>
        <v>&gt;50</v>
      </c>
      <c r="T532" s="14">
        <f t="shared" si="34"/>
        <v>3</v>
      </c>
      <c r="U532" s="14">
        <f t="shared" si="35"/>
        <v>1.5</v>
      </c>
    </row>
    <row r="533" spans="1:21" x14ac:dyDescent="0.25">
      <c r="A533" s="1">
        <v>62530274</v>
      </c>
      <c r="B533" s="1">
        <v>226550</v>
      </c>
      <c r="C533" s="1" t="s">
        <v>1051</v>
      </c>
      <c r="D533" s="1" t="s">
        <v>16</v>
      </c>
      <c r="E533" s="1" t="s">
        <v>1052</v>
      </c>
      <c r="F533" s="1" t="s">
        <v>76</v>
      </c>
      <c r="G533" s="1" t="s">
        <v>18</v>
      </c>
      <c r="H533" s="1" t="s">
        <v>19</v>
      </c>
      <c r="I533" s="1" t="s">
        <v>82</v>
      </c>
      <c r="J533" s="1" t="s">
        <v>83</v>
      </c>
      <c r="K533" s="1" t="str">
        <f>VLOOKUP(J533,'IU Major Match'!$D$2:$E$65,2,FALSE)</f>
        <v>Can be Transferred to Bachelor of Engineering</v>
      </c>
      <c r="L533" s="1">
        <v>70367346</v>
      </c>
      <c r="M533" s="1" t="s">
        <v>99</v>
      </c>
      <c r="N533" s="11">
        <v>108</v>
      </c>
      <c r="O533" s="11">
        <v>3</v>
      </c>
      <c r="P533" s="11">
        <v>10</v>
      </c>
      <c r="Q533" s="11">
        <v>103</v>
      </c>
      <c r="R533" s="5">
        <f t="shared" si="32"/>
        <v>0.12037037037037036</v>
      </c>
      <c r="S533" s="13" t="str">
        <f t="shared" si="33"/>
        <v>=&lt;50</v>
      </c>
      <c r="T533" s="14">
        <f t="shared" si="34"/>
        <v>7</v>
      </c>
      <c r="U533" s="14">
        <f t="shared" si="35"/>
        <v>3.5</v>
      </c>
    </row>
    <row r="534" spans="1:21" x14ac:dyDescent="0.25">
      <c r="A534" s="1">
        <v>62110029</v>
      </c>
      <c r="B534" s="1">
        <v>164275</v>
      </c>
      <c r="C534" s="1" t="s">
        <v>1053</v>
      </c>
      <c r="D534" s="1" t="s">
        <v>49</v>
      </c>
      <c r="E534" s="1" t="s">
        <v>1054</v>
      </c>
      <c r="F534" s="1" t="s">
        <v>76</v>
      </c>
      <c r="G534" s="1" t="s">
        <v>18</v>
      </c>
      <c r="H534" s="1" t="s">
        <v>19</v>
      </c>
      <c r="I534" s="1" t="s">
        <v>82</v>
      </c>
      <c r="J534" s="1" t="s">
        <v>83</v>
      </c>
      <c r="K534" s="1" t="str">
        <f>VLOOKUP(J534,'IU Major Match'!$D$2:$E$65,2,FALSE)</f>
        <v>Can be Transferred to Bachelor of Engineering</v>
      </c>
      <c r="L534" s="1">
        <v>71059960</v>
      </c>
      <c r="M534" s="1" t="s">
        <v>162</v>
      </c>
      <c r="N534" s="11">
        <v>108</v>
      </c>
      <c r="O534" s="11">
        <v>75</v>
      </c>
      <c r="P534" s="11">
        <v>12</v>
      </c>
      <c r="Q534" s="11">
        <v>21</v>
      </c>
      <c r="R534" s="5">
        <f t="shared" si="32"/>
        <v>0.80555555555555558</v>
      </c>
      <c r="S534" s="13" t="str">
        <f t="shared" si="33"/>
        <v>&gt;50</v>
      </c>
      <c r="T534" s="14">
        <f t="shared" si="34"/>
        <v>2</v>
      </c>
      <c r="U534" s="14">
        <f t="shared" si="35"/>
        <v>1</v>
      </c>
    </row>
    <row r="535" spans="1:21" x14ac:dyDescent="0.25">
      <c r="A535" s="1">
        <v>62030365</v>
      </c>
      <c r="B535" s="1">
        <v>160003</v>
      </c>
      <c r="C535" s="1" t="s">
        <v>1055</v>
      </c>
      <c r="D535" s="1" t="s">
        <v>21</v>
      </c>
      <c r="E535" s="1" t="s">
        <v>1056</v>
      </c>
      <c r="F535" s="1" t="s">
        <v>76</v>
      </c>
      <c r="G535" s="1" t="s">
        <v>93</v>
      </c>
      <c r="H535" s="1" t="s">
        <v>19</v>
      </c>
      <c r="I535" s="1" t="s">
        <v>168</v>
      </c>
      <c r="J535" s="1" t="s">
        <v>169</v>
      </c>
      <c r="K535" s="1" t="str">
        <f>VLOOKUP(J535,'IU Major Match'!$D$2:$E$65,2,FALSE)</f>
        <v>Major Dont exists in IU</v>
      </c>
      <c r="L535" s="1">
        <v>96170664543</v>
      </c>
      <c r="M535" s="1" t="s">
        <v>51</v>
      </c>
      <c r="N535" s="11">
        <v>99</v>
      </c>
      <c r="O535" s="11">
        <v>81</v>
      </c>
      <c r="P535" s="11">
        <v>9</v>
      </c>
      <c r="Q535" s="11">
        <v>9</v>
      </c>
      <c r="R535" s="5">
        <f t="shared" si="32"/>
        <v>0.90909090909090906</v>
      </c>
      <c r="S535" s="13" t="str">
        <f t="shared" si="33"/>
        <v>&gt;50</v>
      </c>
      <c r="T535" s="14">
        <f t="shared" si="34"/>
        <v>1</v>
      </c>
      <c r="U535" s="14">
        <f t="shared" si="35"/>
        <v>0.5</v>
      </c>
    </row>
    <row r="536" spans="1:21" x14ac:dyDescent="0.25">
      <c r="A536" s="1">
        <v>62430140</v>
      </c>
      <c r="B536" s="1">
        <v>210662</v>
      </c>
      <c r="C536" s="1" t="s">
        <v>1057</v>
      </c>
      <c r="D536" s="1" t="s">
        <v>1058</v>
      </c>
      <c r="E536" s="1" t="s">
        <v>1059</v>
      </c>
      <c r="F536" s="1" t="s">
        <v>76</v>
      </c>
      <c r="G536" s="1" t="s">
        <v>18</v>
      </c>
      <c r="H536" s="1" t="s">
        <v>19</v>
      </c>
      <c r="I536" s="1" t="s">
        <v>82</v>
      </c>
      <c r="J536" s="1" t="s">
        <v>83</v>
      </c>
      <c r="K536" s="1" t="str">
        <f>VLOOKUP(J536,'IU Major Match'!$D$2:$E$65,2,FALSE)</f>
        <v>Can be Transferred to Bachelor of Engineering</v>
      </c>
      <c r="L536" s="1">
        <v>96181765153</v>
      </c>
      <c r="M536" s="1" t="s">
        <v>113</v>
      </c>
      <c r="N536" s="11">
        <v>108</v>
      </c>
      <c r="O536" s="11">
        <v>18</v>
      </c>
      <c r="P536" s="11">
        <v>12</v>
      </c>
      <c r="Q536" s="11">
        <v>78</v>
      </c>
      <c r="R536" s="5">
        <f t="shared" si="32"/>
        <v>0.27777777777777779</v>
      </c>
      <c r="S536" s="13" t="str">
        <f t="shared" si="33"/>
        <v>=&lt;50</v>
      </c>
      <c r="T536" s="14">
        <f t="shared" si="34"/>
        <v>6</v>
      </c>
      <c r="U536" s="14">
        <f t="shared" si="35"/>
        <v>3</v>
      </c>
    </row>
    <row r="537" spans="1:21" x14ac:dyDescent="0.25">
      <c r="A537" s="1">
        <v>62510055</v>
      </c>
      <c r="B537" s="1">
        <v>218457</v>
      </c>
      <c r="C537" s="1" t="s">
        <v>1060</v>
      </c>
      <c r="D537" s="1" t="s">
        <v>383</v>
      </c>
      <c r="E537" s="1" t="s">
        <v>1018</v>
      </c>
      <c r="F537" s="1" t="s">
        <v>76</v>
      </c>
      <c r="G537" s="1" t="s">
        <v>18</v>
      </c>
      <c r="H537" s="1" t="s">
        <v>19</v>
      </c>
      <c r="I537" s="1" t="s">
        <v>164</v>
      </c>
      <c r="J537" s="1" t="s">
        <v>165</v>
      </c>
      <c r="K537" s="1" t="str">
        <f>VLOOKUP(J537,'IU Major Match'!$D$2:$E$65,2,FALSE)</f>
        <v>Can be Transferred to Bachelor of Engineering</v>
      </c>
      <c r="L537" s="1">
        <v>70551447</v>
      </c>
      <c r="M537" s="1" t="s">
        <v>242</v>
      </c>
      <c r="N537" s="11">
        <v>108</v>
      </c>
      <c r="O537" s="11">
        <v>9</v>
      </c>
      <c r="P537" s="11">
        <v>14</v>
      </c>
      <c r="Q537" s="11">
        <v>89</v>
      </c>
      <c r="R537" s="5">
        <f t="shared" si="32"/>
        <v>0.21296296296296297</v>
      </c>
      <c r="S537" s="13" t="str">
        <f t="shared" si="33"/>
        <v>=&lt;50</v>
      </c>
      <c r="T537" s="14">
        <f t="shared" si="34"/>
        <v>6</v>
      </c>
      <c r="U537" s="14">
        <f t="shared" si="35"/>
        <v>3</v>
      </c>
    </row>
    <row r="538" spans="1:21" x14ac:dyDescent="0.25">
      <c r="A538" s="1">
        <v>62230315</v>
      </c>
      <c r="B538" s="1">
        <v>191714</v>
      </c>
      <c r="C538" s="1" t="s">
        <v>1061</v>
      </c>
      <c r="D538" s="1" t="s">
        <v>316</v>
      </c>
      <c r="E538" s="1" t="s">
        <v>1062</v>
      </c>
      <c r="F538" s="1" t="s">
        <v>76</v>
      </c>
      <c r="G538" s="1" t="s">
        <v>23</v>
      </c>
      <c r="H538" s="1" t="s">
        <v>19</v>
      </c>
      <c r="I538" s="1" t="s">
        <v>360</v>
      </c>
      <c r="J538" s="1" t="s">
        <v>361</v>
      </c>
      <c r="K538" s="1" t="str">
        <f>VLOOKUP(J538,'IU Major Match'!$D$2:$E$65,2,FALSE)</f>
        <v xml:space="preserve">Major exists in IU </v>
      </c>
      <c r="L538" s="1">
        <v>96170761859</v>
      </c>
      <c r="M538" s="1" t="s">
        <v>153</v>
      </c>
      <c r="N538" s="11">
        <v>108</v>
      </c>
      <c r="O538" s="11">
        <v>93</v>
      </c>
      <c r="P538" s="11">
        <v>15</v>
      </c>
      <c r="Q538" s="11">
        <v>0</v>
      </c>
      <c r="R538" s="5">
        <f t="shared" si="32"/>
        <v>1</v>
      </c>
      <c r="S538" s="13" t="str">
        <f t="shared" si="33"/>
        <v>&gt;50</v>
      </c>
      <c r="T538" s="14">
        <f t="shared" si="34"/>
        <v>0</v>
      </c>
      <c r="U538" s="14">
        <f t="shared" si="35"/>
        <v>0</v>
      </c>
    </row>
    <row r="539" spans="1:21" x14ac:dyDescent="0.25">
      <c r="A539" s="1">
        <v>62530236</v>
      </c>
      <c r="B539" s="1">
        <v>225369</v>
      </c>
      <c r="C539" s="1" t="s">
        <v>1061</v>
      </c>
      <c r="D539" s="1" t="s">
        <v>1063</v>
      </c>
      <c r="E539" s="1" t="s">
        <v>477</v>
      </c>
      <c r="F539" s="1" t="s">
        <v>76</v>
      </c>
      <c r="G539" s="1" t="s">
        <v>23</v>
      </c>
      <c r="H539" s="1" t="s">
        <v>19</v>
      </c>
      <c r="I539" s="1" t="s">
        <v>142</v>
      </c>
      <c r="J539" s="1" t="s">
        <v>143</v>
      </c>
      <c r="K539" s="1" t="str">
        <f>VLOOKUP(J539,'IU Major Match'!$D$2:$E$65,2,FALSE)</f>
        <v xml:space="preserve">Major exists in IU </v>
      </c>
      <c r="L539" s="1">
        <v>76144781</v>
      </c>
      <c r="M539" s="1" t="s">
        <v>99</v>
      </c>
      <c r="N539" s="11">
        <v>99</v>
      </c>
      <c r="O539" s="11">
        <v>18</v>
      </c>
      <c r="P539" s="11">
        <v>16</v>
      </c>
      <c r="Q539" s="11">
        <v>69</v>
      </c>
      <c r="R539" s="5">
        <f t="shared" si="32"/>
        <v>0.34343434343434343</v>
      </c>
      <c r="S539" s="13" t="str">
        <f t="shared" si="33"/>
        <v>=&lt;50</v>
      </c>
      <c r="T539" s="14">
        <f t="shared" si="34"/>
        <v>5</v>
      </c>
      <c r="U539" s="14">
        <f t="shared" si="35"/>
        <v>2.5</v>
      </c>
    </row>
    <row r="540" spans="1:21" x14ac:dyDescent="0.25">
      <c r="A540" s="1">
        <v>62230115</v>
      </c>
      <c r="B540" s="1">
        <v>186422</v>
      </c>
      <c r="C540" s="1" t="s">
        <v>1061</v>
      </c>
      <c r="D540" s="1" t="s">
        <v>1064</v>
      </c>
      <c r="E540" s="1" t="s">
        <v>1065</v>
      </c>
      <c r="F540" s="1" t="s">
        <v>76</v>
      </c>
      <c r="G540" s="1" t="s">
        <v>23</v>
      </c>
      <c r="H540" s="1" t="s">
        <v>19</v>
      </c>
      <c r="I540" s="1" t="s">
        <v>360</v>
      </c>
      <c r="J540" s="1" t="s">
        <v>361</v>
      </c>
      <c r="K540" s="1" t="str">
        <f>VLOOKUP(J540,'IU Major Match'!$D$2:$E$65,2,FALSE)</f>
        <v xml:space="preserve">Major exists in IU </v>
      </c>
      <c r="L540" s="1">
        <v>96181904486</v>
      </c>
      <c r="M540" s="1" t="s">
        <v>153</v>
      </c>
      <c r="N540" s="11">
        <v>108</v>
      </c>
      <c r="O540" s="11">
        <v>78</v>
      </c>
      <c r="P540" s="11">
        <v>18</v>
      </c>
      <c r="Q540" s="11">
        <v>12</v>
      </c>
      <c r="R540" s="5">
        <f t="shared" si="32"/>
        <v>0.88888888888888884</v>
      </c>
      <c r="S540" s="13" t="str">
        <f t="shared" si="33"/>
        <v>&gt;50</v>
      </c>
      <c r="T540" s="14">
        <f t="shared" si="34"/>
        <v>1</v>
      </c>
      <c r="U540" s="14">
        <f t="shared" si="35"/>
        <v>0.5</v>
      </c>
    </row>
    <row r="541" spans="1:21" x14ac:dyDescent="0.25">
      <c r="A541" s="1">
        <v>62310036</v>
      </c>
      <c r="B541" s="1">
        <v>197462</v>
      </c>
      <c r="C541" s="1" t="s">
        <v>1066</v>
      </c>
      <c r="D541" s="1" t="s">
        <v>418</v>
      </c>
      <c r="E541" s="1" t="s">
        <v>1067</v>
      </c>
      <c r="F541" s="1" t="s">
        <v>76</v>
      </c>
      <c r="G541" s="1" t="s">
        <v>23</v>
      </c>
      <c r="H541" s="1" t="s">
        <v>19</v>
      </c>
      <c r="I541" s="1" t="s">
        <v>88</v>
      </c>
      <c r="J541" s="1" t="s">
        <v>89</v>
      </c>
      <c r="K541" s="1" t="str">
        <f>VLOOKUP(J541,'IU Major Match'!$D$2:$E$65,2,FALSE)</f>
        <v xml:space="preserve">Major exists in IU </v>
      </c>
      <c r="L541" s="1">
        <v>76565743</v>
      </c>
      <c r="M541" s="1" t="s">
        <v>178</v>
      </c>
      <c r="N541" s="11">
        <v>99</v>
      </c>
      <c r="O541" s="11">
        <v>75</v>
      </c>
      <c r="P541" s="11">
        <v>9</v>
      </c>
      <c r="Q541" s="11">
        <v>15</v>
      </c>
      <c r="R541" s="5">
        <f t="shared" si="32"/>
        <v>0.84848484848484851</v>
      </c>
      <c r="S541" s="13" t="str">
        <f t="shared" si="33"/>
        <v>&gt;50</v>
      </c>
      <c r="T541" s="14">
        <f t="shared" si="34"/>
        <v>1</v>
      </c>
      <c r="U541" s="14">
        <f t="shared" si="35"/>
        <v>0.5</v>
      </c>
    </row>
    <row r="542" spans="1:21" x14ac:dyDescent="0.25">
      <c r="A542" s="1">
        <v>62330306</v>
      </c>
      <c r="B542" s="1">
        <v>205249</v>
      </c>
      <c r="C542" s="1" t="s">
        <v>1066</v>
      </c>
      <c r="D542" s="1" t="s">
        <v>635</v>
      </c>
      <c r="E542" s="1" t="s">
        <v>1068</v>
      </c>
      <c r="F542" s="1" t="s">
        <v>76</v>
      </c>
      <c r="G542" s="1" t="s">
        <v>93</v>
      </c>
      <c r="H542" s="1" t="s">
        <v>19</v>
      </c>
      <c r="I542" s="1" t="s">
        <v>107</v>
      </c>
      <c r="J542" s="1" t="s">
        <v>108</v>
      </c>
      <c r="K542" s="1" t="str">
        <f>VLOOKUP(J542,'IU Major Match'!$D$2:$E$65,2,FALSE)</f>
        <v xml:space="preserve">Major exists in IU </v>
      </c>
      <c r="L542" s="1">
        <v>81507076</v>
      </c>
      <c r="M542" s="1" t="s">
        <v>90</v>
      </c>
      <c r="N542" s="11">
        <v>99</v>
      </c>
      <c r="O542" s="11">
        <v>45</v>
      </c>
      <c r="P542" s="11">
        <v>18</v>
      </c>
      <c r="Q542" s="11">
        <v>36</v>
      </c>
      <c r="R542" s="5">
        <f t="shared" si="32"/>
        <v>0.63636363636363635</v>
      </c>
      <c r="S542" s="13" t="str">
        <f t="shared" si="33"/>
        <v>&gt;50</v>
      </c>
      <c r="T542" s="14">
        <f t="shared" si="34"/>
        <v>3</v>
      </c>
      <c r="U542" s="14">
        <f t="shared" si="35"/>
        <v>1.5</v>
      </c>
    </row>
    <row r="543" spans="1:21" x14ac:dyDescent="0.25">
      <c r="A543" s="1">
        <v>62530026</v>
      </c>
      <c r="B543" s="1">
        <v>219156</v>
      </c>
      <c r="C543" s="1" t="s">
        <v>1069</v>
      </c>
      <c r="D543" s="1" t="s">
        <v>149</v>
      </c>
      <c r="E543" s="1" t="s">
        <v>1070</v>
      </c>
      <c r="F543" s="1" t="s">
        <v>76</v>
      </c>
      <c r="G543" s="1" t="s">
        <v>93</v>
      </c>
      <c r="H543" s="1" t="s">
        <v>19</v>
      </c>
      <c r="I543" s="1" t="s">
        <v>754</v>
      </c>
      <c r="J543" s="1" t="s">
        <v>755</v>
      </c>
      <c r="K543" s="1" t="str">
        <f>VLOOKUP(J543,'IU Major Match'!$D$2:$E$65,2,FALSE)</f>
        <v xml:space="preserve">Major exists in IU </v>
      </c>
      <c r="L543" s="1">
        <v>96181081460</v>
      </c>
      <c r="M543" s="1" t="s">
        <v>99</v>
      </c>
      <c r="N543" s="11">
        <v>99</v>
      </c>
      <c r="O543" s="11">
        <v>0</v>
      </c>
      <c r="P543" s="11">
        <v>12</v>
      </c>
      <c r="Q543" s="11">
        <v>87</v>
      </c>
      <c r="R543" s="5">
        <f t="shared" si="32"/>
        <v>0.12121212121212122</v>
      </c>
      <c r="S543" s="13" t="str">
        <f t="shared" si="33"/>
        <v>=&lt;50</v>
      </c>
      <c r="T543" s="14">
        <f t="shared" si="34"/>
        <v>6</v>
      </c>
      <c r="U543" s="14">
        <f t="shared" si="35"/>
        <v>3</v>
      </c>
    </row>
    <row r="544" spans="1:21" x14ac:dyDescent="0.25">
      <c r="A544" s="1">
        <v>61930052</v>
      </c>
      <c r="B544" s="1">
        <v>139042</v>
      </c>
      <c r="C544" s="1" t="s">
        <v>1069</v>
      </c>
      <c r="D544" s="1" t="s">
        <v>1071</v>
      </c>
      <c r="E544" s="1" t="s">
        <v>1072</v>
      </c>
      <c r="F544" s="1" t="s">
        <v>76</v>
      </c>
      <c r="G544" s="1" t="s">
        <v>23</v>
      </c>
      <c r="H544" s="1" t="s">
        <v>19</v>
      </c>
      <c r="I544" s="1" t="s">
        <v>103</v>
      </c>
      <c r="J544" s="1" t="s">
        <v>104</v>
      </c>
      <c r="K544" s="1" t="str">
        <f>VLOOKUP(J544,'IU Major Match'!$D$2:$E$65,2,FALSE)</f>
        <v xml:space="preserve">Major exists in IU </v>
      </c>
      <c r="L544" s="1">
        <v>96170993173</v>
      </c>
      <c r="M544" s="1" t="s">
        <v>205</v>
      </c>
      <c r="N544" s="11">
        <v>100</v>
      </c>
      <c r="O544" s="11">
        <v>73</v>
      </c>
      <c r="P544" s="11">
        <v>12</v>
      </c>
      <c r="Q544" s="11">
        <v>15</v>
      </c>
      <c r="R544" s="5">
        <f t="shared" si="32"/>
        <v>0.85</v>
      </c>
      <c r="S544" s="13" t="str">
        <f t="shared" si="33"/>
        <v>&gt;50</v>
      </c>
      <c r="T544" s="14">
        <f t="shared" si="34"/>
        <v>1</v>
      </c>
      <c r="U544" s="14">
        <f t="shared" si="35"/>
        <v>0.5</v>
      </c>
    </row>
    <row r="545" spans="1:21" x14ac:dyDescent="0.25">
      <c r="A545" s="1">
        <v>62530132</v>
      </c>
      <c r="B545" s="1">
        <v>222994</v>
      </c>
      <c r="C545" s="1" t="s">
        <v>1069</v>
      </c>
      <c r="D545" s="1" t="s">
        <v>1073</v>
      </c>
      <c r="E545" s="1" t="s">
        <v>452</v>
      </c>
      <c r="F545" s="1" t="s">
        <v>76</v>
      </c>
      <c r="G545" s="1" t="s">
        <v>18</v>
      </c>
      <c r="H545" s="1" t="s">
        <v>19</v>
      </c>
      <c r="I545" s="1" t="s">
        <v>171</v>
      </c>
      <c r="J545" s="1" t="s">
        <v>172</v>
      </c>
      <c r="K545" s="1" t="str">
        <f>VLOOKUP(J545,'IU Major Match'!$D$2:$E$65,2,FALSE)</f>
        <v>Can be Transferred to Bachelor of Engineering</v>
      </c>
      <c r="L545" s="1">
        <v>76186354</v>
      </c>
      <c r="M545" s="1" t="s">
        <v>99</v>
      </c>
      <c r="N545" s="11">
        <v>108</v>
      </c>
      <c r="O545" s="11">
        <v>12</v>
      </c>
      <c r="P545" s="11">
        <v>14</v>
      </c>
      <c r="Q545" s="11">
        <v>82</v>
      </c>
      <c r="R545" s="5">
        <f t="shared" si="32"/>
        <v>0.24074074074074073</v>
      </c>
      <c r="S545" s="13" t="str">
        <f t="shared" si="33"/>
        <v>=&lt;50</v>
      </c>
      <c r="T545" s="14">
        <f t="shared" si="34"/>
        <v>6</v>
      </c>
      <c r="U545" s="14">
        <f t="shared" si="35"/>
        <v>3</v>
      </c>
    </row>
    <row r="546" spans="1:21" x14ac:dyDescent="0.25">
      <c r="A546" s="1">
        <v>62330307</v>
      </c>
      <c r="B546" s="1">
        <v>205807</v>
      </c>
      <c r="C546" s="1" t="s">
        <v>1074</v>
      </c>
      <c r="D546" s="1" t="s">
        <v>190</v>
      </c>
      <c r="E546" s="1" t="s">
        <v>1075</v>
      </c>
      <c r="F546" s="1" t="s">
        <v>76</v>
      </c>
      <c r="G546" s="1" t="s">
        <v>93</v>
      </c>
      <c r="H546" s="1" t="s">
        <v>19</v>
      </c>
      <c r="I546" s="1" t="s">
        <v>94</v>
      </c>
      <c r="J546" s="1" t="s">
        <v>95</v>
      </c>
      <c r="K546" s="1" t="str">
        <f>VLOOKUP(J546,'IU Major Match'!$D$2:$E$65,2,FALSE)</f>
        <v xml:space="preserve">Major exists in IU </v>
      </c>
      <c r="L546" s="1">
        <v>96171193115</v>
      </c>
      <c r="M546" s="1" t="s">
        <v>90</v>
      </c>
      <c r="N546" s="11">
        <v>99</v>
      </c>
      <c r="O546" s="11">
        <v>3</v>
      </c>
      <c r="P546" s="11">
        <v>10</v>
      </c>
      <c r="Q546" s="11">
        <v>93</v>
      </c>
      <c r="R546" s="5">
        <f t="shared" si="32"/>
        <v>0.13131313131313133</v>
      </c>
      <c r="S546" s="13" t="str">
        <f t="shared" si="33"/>
        <v>=&lt;50</v>
      </c>
      <c r="T546" s="14">
        <f t="shared" si="34"/>
        <v>7</v>
      </c>
      <c r="U546" s="14">
        <f t="shared" si="35"/>
        <v>3.5</v>
      </c>
    </row>
    <row r="547" spans="1:21" x14ac:dyDescent="0.25">
      <c r="A547" s="1">
        <v>62230354</v>
      </c>
      <c r="B547" s="1">
        <v>192404</v>
      </c>
      <c r="C547" s="1" t="s">
        <v>1076</v>
      </c>
      <c r="D547" s="1" t="s">
        <v>131</v>
      </c>
      <c r="E547" s="1" t="s">
        <v>1077</v>
      </c>
      <c r="F547" s="1" t="s">
        <v>76</v>
      </c>
      <c r="G547" s="1" t="s">
        <v>23</v>
      </c>
      <c r="H547" s="1" t="s">
        <v>19</v>
      </c>
      <c r="I547" s="1" t="s">
        <v>88</v>
      </c>
      <c r="J547" s="1" t="s">
        <v>89</v>
      </c>
      <c r="K547" s="1" t="str">
        <f>VLOOKUP(J547,'IU Major Match'!$D$2:$E$65,2,FALSE)</f>
        <v xml:space="preserve">Major exists in IU </v>
      </c>
      <c r="L547" s="1">
        <v>81319136</v>
      </c>
      <c r="M547" s="1" t="s">
        <v>153</v>
      </c>
      <c r="N547" s="11">
        <v>99</v>
      </c>
      <c r="O547" s="11">
        <v>58</v>
      </c>
      <c r="P547" s="11">
        <v>10</v>
      </c>
      <c r="Q547" s="11">
        <v>31</v>
      </c>
      <c r="R547" s="5">
        <f t="shared" si="32"/>
        <v>0.68686868686868685</v>
      </c>
      <c r="S547" s="13" t="str">
        <f t="shared" si="33"/>
        <v>&gt;50</v>
      </c>
      <c r="T547" s="14">
        <f t="shared" si="34"/>
        <v>3</v>
      </c>
      <c r="U547" s="14">
        <f t="shared" si="35"/>
        <v>1.5</v>
      </c>
    </row>
    <row r="548" spans="1:21" x14ac:dyDescent="0.25">
      <c r="A548" s="1">
        <v>62410054</v>
      </c>
      <c r="B548" s="1">
        <v>208983</v>
      </c>
      <c r="C548" s="1" t="s">
        <v>1078</v>
      </c>
      <c r="D548" s="1" t="s">
        <v>145</v>
      </c>
      <c r="E548" s="1" t="s">
        <v>1079</v>
      </c>
      <c r="F548" s="1" t="s">
        <v>76</v>
      </c>
      <c r="G548" s="1" t="s">
        <v>23</v>
      </c>
      <c r="H548" s="1" t="s">
        <v>19</v>
      </c>
      <c r="I548" s="1" t="s">
        <v>237</v>
      </c>
      <c r="J548" s="1" t="s">
        <v>238</v>
      </c>
      <c r="K548" s="1" t="str">
        <f>VLOOKUP(J548,'IU Major Match'!$D$2:$E$65,2,FALSE)</f>
        <v xml:space="preserve">Major exists in IU </v>
      </c>
      <c r="L548" s="1">
        <v>76111954</v>
      </c>
      <c r="M548" s="1" t="s">
        <v>362</v>
      </c>
      <c r="N548" s="11">
        <v>108</v>
      </c>
      <c r="O548" s="11">
        <v>96</v>
      </c>
      <c r="P548" s="11">
        <v>12</v>
      </c>
      <c r="Q548" s="11">
        <v>0</v>
      </c>
      <c r="R548" s="5">
        <f t="shared" si="32"/>
        <v>1</v>
      </c>
      <c r="S548" s="13" t="str">
        <f t="shared" si="33"/>
        <v>&gt;50</v>
      </c>
      <c r="T548" s="14">
        <f t="shared" si="34"/>
        <v>0</v>
      </c>
      <c r="U548" s="14">
        <f t="shared" si="35"/>
        <v>0</v>
      </c>
    </row>
    <row r="549" spans="1:21" x14ac:dyDescent="0.25">
      <c r="A549" s="1">
        <v>62330042</v>
      </c>
      <c r="B549" s="1">
        <v>198769</v>
      </c>
      <c r="C549" s="1" t="s">
        <v>1080</v>
      </c>
      <c r="D549" s="1" t="s">
        <v>447</v>
      </c>
      <c r="E549" s="1" t="s">
        <v>1081</v>
      </c>
      <c r="F549" s="1" t="s">
        <v>76</v>
      </c>
      <c r="G549" s="1" t="s">
        <v>23</v>
      </c>
      <c r="H549" s="1" t="s">
        <v>19</v>
      </c>
      <c r="I549" s="1" t="s">
        <v>103</v>
      </c>
      <c r="J549" s="1" t="s">
        <v>104</v>
      </c>
      <c r="K549" s="1" t="str">
        <f>VLOOKUP(J549,'IU Major Match'!$D$2:$E$65,2,FALSE)</f>
        <v xml:space="preserve">Major exists in IU </v>
      </c>
      <c r="L549" s="1">
        <v>96170806868</v>
      </c>
      <c r="M549" s="1" t="s">
        <v>90</v>
      </c>
      <c r="N549" s="11">
        <v>100</v>
      </c>
      <c r="O549" s="11">
        <v>87</v>
      </c>
      <c r="P549" s="11">
        <v>13</v>
      </c>
      <c r="Q549" s="11">
        <v>0</v>
      </c>
      <c r="R549" s="5">
        <f t="shared" si="32"/>
        <v>1</v>
      </c>
      <c r="S549" s="13" t="str">
        <f t="shared" si="33"/>
        <v>&gt;50</v>
      </c>
      <c r="T549" s="14">
        <f t="shared" si="34"/>
        <v>0</v>
      </c>
      <c r="U549" s="14">
        <f t="shared" si="35"/>
        <v>0</v>
      </c>
    </row>
    <row r="550" spans="1:21" x14ac:dyDescent="0.25">
      <c r="A550" s="1">
        <v>62430257</v>
      </c>
      <c r="B550" s="1">
        <v>216060</v>
      </c>
      <c r="C550" s="1" t="s">
        <v>1082</v>
      </c>
      <c r="D550" s="1" t="s">
        <v>640</v>
      </c>
      <c r="E550" s="1" t="s">
        <v>1083</v>
      </c>
      <c r="F550" s="1" t="s">
        <v>76</v>
      </c>
      <c r="G550" s="1" t="s">
        <v>18</v>
      </c>
      <c r="H550" s="1" t="s">
        <v>19</v>
      </c>
      <c r="I550" s="1" t="s">
        <v>82</v>
      </c>
      <c r="J550" s="1" t="s">
        <v>83</v>
      </c>
      <c r="K550" s="1" t="str">
        <f>VLOOKUP(J550,'IU Major Match'!$D$2:$E$65,2,FALSE)</f>
        <v>Can be Transferred to Bachelor of Engineering</v>
      </c>
      <c r="L550" s="1">
        <v>9613831784</v>
      </c>
      <c r="M550" s="1" t="s">
        <v>113</v>
      </c>
      <c r="N550" s="11">
        <v>108</v>
      </c>
      <c r="O550" s="11">
        <v>24</v>
      </c>
      <c r="P550" s="11">
        <v>16</v>
      </c>
      <c r="Q550" s="11">
        <v>77</v>
      </c>
      <c r="R550" s="5">
        <f t="shared" si="32"/>
        <v>0.37037037037037035</v>
      </c>
      <c r="S550" s="13" t="str">
        <f t="shared" si="33"/>
        <v>=&lt;50</v>
      </c>
      <c r="T550" s="14">
        <f t="shared" si="34"/>
        <v>6</v>
      </c>
      <c r="U550" s="14">
        <f t="shared" si="35"/>
        <v>3</v>
      </c>
    </row>
    <row r="551" spans="1:21" x14ac:dyDescent="0.25">
      <c r="A551" s="1">
        <v>62330200</v>
      </c>
      <c r="B551" s="1">
        <v>202654</v>
      </c>
      <c r="C551" s="1" t="s">
        <v>1084</v>
      </c>
      <c r="D551" s="1" t="s">
        <v>451</v>
      </c>
      <c r="E551" s="1" t="s">
        <v>1085</v>
      </c>
      <c r="F551" s="1" t="s">
        <v>76</v>
      </c>
      <c r="G551" s="1" t="s">
        <v>23</v>
      </c>
      <c r="H551" s="1" t="s">
        <v>19</v>
      </c>
      <c r="I551" s="1" t="s">
        <v>542</v>
      </c>
      <c r="J551" s="1" t="s">
        <v>543</v>
      </c>
      <c r="K551" s="1" t="str">
        <f>VLOOKUP(J551,'IU Major Match'!$D$2:$E$65,2,FALSE)</f>
        <v xml:space="preserve">Major exists in IU </v>
      </c>
      <c r="L551" s="1">
        <v>96181847562</v>
      </c>
      <c r="M551" s="1" t="s">
        <v>90</v>
      </c>
      <c r="N551" s="11">
        <v>108</v>
      </c>
      <c r="O551" s="11">
        <v>66</v>
      </c>
      <c r="P551" s="11">
        <v>12</v>
      </c>
      <c r="Q551" s="11">
        <v>30</v>
      </c>
      <c r="R551" s="5">
        <f t="shared" si="32"/>
        <v>0.72222222222222221</v>
      </c>
      <c r="S551" s="13" t="str">
        <f t="shared" si="33"/>
        <v>&gt;50</v>
      </c>
      <c r="T551" s="14">
        <f t="shared" si="34"/>
        <v>2</v>
      </c>
      <c r="U551" s="14">
        <f t="shared" si="35"/>
        <v>1</v>
      </c>
    </row>
    <row r="552" spans="1:21" x14ac:dyDescent="0.25">
      <c r="A552" s="1">
        <v>62430152</v>
      </c>
      <c r="B552" s="1">
        <v>211490</v>
      </c>
      <c r="C552" s="1" t="s">
        <v>1086</v>
      </c>
      <c r="D552" s="1" t="s">
        <v>378</v>
      </c>
      <c r="E552" s="1" t="s">
        <v>1087</v>
      </c>
      <c r="F552" s="1" t="s">
        <v>76</v>
      </c>
      <c r="G552" s="1" t="s">
        <v>23</v>
      </c>
      <c r="H552" s="1" t="s">
        <v>19</v>
      </c>
      <c r="I552" s="1" t="s">
        <v>88</v>
      </c>
      <c r="J552" s="1" t="s">
        <v>89</v>
      </c>
      <c r="K552" s="1" t="str">
        <f>VLOOKUP(J552,'IU Major Match'!$D$2:$E$65,2,FALSE)</f>
        <v xml:space="preserve">Major exists in IU </v>
      </c>
      <c r="L552" s="1">
        <v>79191749</v>
      </c>
      <c r="M552" s="1" t="s">
        <v>113</v>
      </c>
      <c r="N552" s="11">
        <v>99</v>
      </c>
      <c r="O552" s="11">
        <v>36</v>
      </c>
      <c r="P552" s="11">
        <v>15</v>
      </c>
      <c r="Q552" s="11">
        <v>48</v>
      </c>
      <c r="R552" s="5">
        <f t="shared" si="32"/>
        <v>0.51515151515151514</v>
      </c>
      <c r="S552" s="13" t="str">
        <f t="shared" si="33"/>
        <v>&gt;50</v>
      </c>
      <c r="T552" s="14">
        <f t="shared" si="34"/>
        <v>4</v>
      </c>
      <c r="U552" s="14">
        <f t="shared" si="35"/>
        <v>2</v>
      </c>
    </row>
    <row r="553" spans="1:21" x14ac:dyDescent="0.25">
      <c r="A553" s="1">
        <v>62510035</v>
      </c>
      <c r="B553" s="1">
        <v>217964</v>
      </c>
      <c r="C553" s="1" t="s">
        <v>1088</v>
      </c>
      <c r="D553" s="1" t="s">
        <v>1049</v>
      </c>
      <c r="E553" s="1" t="s">
        <v>1089</v>
      </c>
      <c r="F553" s="1" t="s">
        <v>76</v>
      </c>
      <c r="G553" s="1" t="s">
        <v>18</v>
      </c>
      <c r="H553" s="1" t="s">
        <v>19</v>
      </c>
      <c r="I553" s="1" t="s">
        <v>82</v>
      </c>
      <c r="J553" s="1" t="s">
        <v>83</v>
      </c>
      <c r="K553" s="1" t="str">
        <f>VLOOKUP(J553,'IU Major Match'!$D$2:$E$65,2,FALSE)</f>
        <v>Can be Transferred to Bachelor of Engineering</v>
      </c>
      <c r="L553" s="1">
        <v>70306660</v>
      </c>
      <c r="M553" s="1" t="s">
        <v>242</v>
      </c>
      <c r="N553" s="11">
        <v>108</v>
      </c>
      <c r="O553" s="11">
        <v>12</v>
      </c>
      <c r="P553" s="11">
        <v>13</v>
      </c>
      <c r="Q553" s="11">
        <v>83</v>
      </c>
      <c r="R553" s="5">
        <f t="shared" si="32"/>
        <v>0.23148148148148148</v>
      </c>
      <c r="S553" s="13" t="str">
        <f t="shared" si="33"/>
        <v>=&lt;50</v>
      </c>
      <c r="T553" s="14">
        <f t="shared" si="34"/>
        <v>6</v>
      </c>
      <c r="U553" s="14">
        <f t="shared" si="35"/>
        <v>3</v>
      </c>
    </row>
    <row r="554" spans="1:21" x14ac:dyDescent="0.25">
      <c r="A554" s="1">
        <v>62330169</v>
      </c>
      <c r="B554" s="1">
        <v>200562</v>
      </c>
      <c r="C554" s="1" t="s">
        <v>1090</v>
      </c>
      <c r="D554" s="1" t="s">
        <v>198</v>
      </c>
      <c r="E554" s="1" t="s">
        <v>1091</v>
      </c>
      <c r="F554" s="1" t="s">
        <v>76</v>
      </c>
      <c r="G554" s="1" t="s">
        <v>23</v>
      </c>
      <c r="H554" s="1" t="s">
        <v>19</v>
      </c>
      <c r="I554" s="1" t="s">
        <v>116</v>
      </c>
      <c r="J554" s="1" t="s">
        <v>117</v>
      </c>
      <c r="K554" s="1" t="str">
        <f>VLOOKUP(J554,'IU Major Match'!$D$2:$E$65,2,FALSE)</f>
        <v>Major Dont exists in IU</v>
      </c>
      <c r="L554" s="1">
        <v>96171592005</v>
      </c>
      <c r="M554" s="1" t="s">
        <v>90</v>
      </c>
      <c r="N554" s="11">
        <v>99</v>
      </c>
      <c r="O554" s="11">
        <v>48</v>
      </c>
      <c r="P554" s="11">
        <v>13</v>
      </c>
      <c r="Q554" s="11">
        <v>38</v>
      </c>
      <c r="R554" s="5">
        <f t="shared" si="32"/>
        <v>0.61616161616161613</v>
      </c>
      <c r="S554" s="13" t="str">
        <f t="shared" si="33"/>
        <v>&gt;50</v>
      </c>
      <c r="T554" s="14">
        <f t="shared" si="34"/>
        <v>3</v>
      </c>
      <c r="U554" s="14">
        <f t="shared" si="35"/>
        <v>1.5</v>
      </c>
    </row>
    <row r="555" spans="1:21" x14ac:dyDescent="0.25">
      <c r="A555" s="1">
        <v>62430003</v>
      </c>
      <c r="B555" s="1">
        <v>210647</v>
      </c>
      <c r="C555" s="1" t="s">
        <v>1092</v>
      </c>
      <c r="D555" s="1" t="s">
        <v>256</v>
      </c>
      <c r="E555" s="1" t="s">
        <v>753</v>
      </c>
      <c r="F555" s="1" t="s">
        <v>76</v>
      </c>
      <c r="G555" s="1" t="s">
        <v>23</v>
      </c>
      <c r="H555" s="1" t="s">
        <v>19</v>
      </c>
      <c r="I555" s="1" t="s">
        <v>258</v>
      </c>
      <c r="J555" s="1" t="s">
        <v>259</v>
      </c>
      <c r="K555" s="1" t="str">
        <f>VLOOKUP(J555,'IU Major Match'!$D$2:$E$65,2,FALSE)</f>
        <v xml:space="preserve">Major exists in IU </v>
      </c>
      <c r="L555" s="1">
        <v>96170314612</v>
      </c>
      <c r="M555" s="1" t="s">
        <v>113</v>
      </c>
      <c r="N555" s="11">
        <v>108</v>
      </c>
      <c r="O555" s="11">
        <v>15</v>
      </c>
      <c r="P555" s="11">
        <v>9</v>
      </c>
      <c r="Q555" s="11">
        <v>84</v>
      </c>
      <c r="R555" s="5">
        <f t="shared" si="32"/>
        <v>0.22222222222222221</v>
      </c>
      <c r="S555" s="13" t="str">
        <f t="shared" si="33"/>
        <v>=&lt;50</v>
      </c>
      <c r="T555" s="14">
        <f t="shared" si="34"/>
        <v>6</v>
      </c>
      <c r="U555" s="14">
        <f t="shared" si="35"/>
        <v>3</v>
      </c>
    </row>
    <row r="556" spans="1:21" x14ac:dyDescent="0.25">
      <c r="A556" s="1">
        <v>62510015</v>
      </c>
      <c r="B556" s="1">
        <v>217804</v>
      </c>
      <c r="C556" s="1" t="s">
        <v>1092</v>
      </c>
      <c r="D556" s="1" t="s">
        <v>716</v>
      </c>
      <c r="E556" s="1" t="s">
        <v>1093</v>
      </c>
      <c r="F556" s="1" t="s">
        <v>76</v>
      </c>
      <c r="G556" s="1" t="s">
        <v>23</v>
      </c>
      <c r="H556" s="1" t="s">
        <v>19</v>
      </c>
      <c r="I556" s="1" t="s">
        <v>226</v>
      </c>
      <c r="J556" s="1" t="s">
        <v>227</v>
      </c>
      <c r="K556" s="1" t="str">
        <f>VLOOKUP(J556,'IU Major Match'!$D$2:$E$65,2,FALSE)</f>
        <v>Major Dont exists in IU</v>
      </c>
      <c r="L556" s="1">
        <v>96170860054</v>
      </c>
      <c r="M556" s="1" t="s">
        <v>242</v>
      </c>
      <c r="N556" s="11">
        <v>99</v>
      </c>
      <c r="O556" s="11">
        <v>20</v>
      </c>
      <c r="P556" s="11">
        <v>14</v>
      </c>
      <c r="Q556" s="11">
        <v>65</v>
      </c>
      <c r="R556" s="5">
        <f t="shared" si="32"/>
        <v>0.34343434343434343</v>
      </c>
      <c r="S556" s="13" t="str">
        <f t="shared" si="33"/>
        <v>=&lt;50</v>
      </c>
      <c r="T556" s="14">
        <f t="shared" si="34"/>
        <v>5</v>
      </c>
      <c r="U556" s="14">
        <f t="shared" si="35"/>
        <v>2.5</v>
      </c>
    </row>
    <row r="557" spans="1:21" x14ac:dyDescent="0.25">
      <c r="A557" s="1">
        <v>62230363</v>
      </c>
      <c r="B557" s="1">
        <v>193111</v>
      </c>
      <c r="C557" s="1" t="s">
        <v>1092</v>
      </c>
      <c r="D557" s="1" t="s">
        <v>1094</v>
      </c>
      <c r="E557" s="1" t="s">
        <v>1095</v>
      </c>
      <c r="F557" s="1" t="s">
        <v>76</v>
      </c>
      <c r="G557" s="1" t="s">
        <v>23</v>
      </c>
      <c r="H557" s="1" t="s">
        <v>19</v>
      </c>
      <c r="I557" s="1" t="s">
        <v>88</v>
      </c>
      <c r="J557" s="1" t="s">
        <v>89</v>
      </c>
      <c r="K557" s="1" t="str">
        <f>VLOOKUP(J557,'IU Major Match'!$D$2:$E$65,2,FALSE)</f>
        <v xml:space="preserve">Major exists in IU </v>
      </c>
      <c r="L557" s="1">
        <v>96171582019</v>
      </c>
      <c r="M557" s="1" t="s">
        <v>153</v>
      </c>
      <c r="N557" s="11">
        <v>99</v>
      </c>
      <c r="O557" s="11">
        <v>84</v>
      </c>
      <c r="P557" s="11">
        <v>9</v>
      </c>
      <c r="Q557" s="11">
        <v>6</v>
      </c>
      <c r="R557" s="5">
        <f t="shared" si="32"/>
        <v>0.93939393939393945</v>
      </c>
      <c r="S557" s="13" t="str">
        <f t="shared" si="33"/>
        <v>&gt;50</v>
      </c>
      <c r="T557" s="14">
        <f t="shared" si="34"/>
        <v>1</v>
      </c>
      <c r="U557" s="14">
        <f t="shared" si="35"/>
        <v>0.5</v>
      </c>
    </row>
    <row r="558" spans="1:21" x14ac:dyDescent="0.25">
      <c r="A558" s="1">
        <v>62330287</v>
      </c>
      <c r="B558" s="1">
        <v>204225</v>
      </c>
      <c r="C558" s="1" t="s">
        <v>1092</v>
      </c>
      <c r="D558" s="1" t="s">
        <v>666</v>
      </c>
      <c r="E558" s="1" t="s">
        <v>667</v>
      </c>
      <c r="F558" s="1" t="s">
        <v>76</v>
      </c>
      <c r="G558" s="1" t="s">
        <v>93</v>
      </c>
      <c r="H558" s="1" t="s">
        <v>19</v>
      </c>
      <c r="I558" s="1" t="s">
        <v>107</v>
      </c>
      <c r="J558" s="1" t="s">
        <v>108</v>
      </c>
      <c r="K558" s="1" t="str">
        <f>VLOOKUP(J558,'IU Major Match'!$D$2:$E$65,2,FALSE)</f>
        <v xml:space="preserve">Major exists in IU </v>
      </c>
      <c r="L558" s="1">
        <v>96170059179</v>
      </c>
      <c r="M558" s="1" t="s">
        <v>90</v>
      </c>
      <c r="N558" s="11">
        <v>99</v>
      </c>
      <c r="O558" s="11">
        <v>30</v>
      </c>
      <c r="P558" s="11">
        <v>12</v>
      </c>
      <c r="Q558" s="11">
        <v>57</v>
      </c>
      <c r="R558" s="5">
        <f t="shared" si="32"/>
        <v>0.42424242424242425</v>
      </c>
      <c r="S558" s="13" t="str">
        <f t="shared" si="33"/>
        <v>=&lt;50</v>
      </c>
      <c r="T558" s="14">
        <f t="shared" si="34"/>
        <v>4</v>
      </c>
      <c r="U558" s="14">
        <f t="shared" si="35"/>
        <v>2</v>
      </c>
    </row>
    <row r="559" spans="1:21" x14ac:dyDescent="0.25">
      <c r="A559" s="1">
        <v>62430327</v>
      </c>
      <c r="B559" s="1">
        <v>216897</v>
      </c>
      <c r="C559" s="1" t="s">
        <v>1092</v>
      </c>
      <c r="D559" s="1" t="s">
        <v>42</v>
      </c>
      <c r="E559" s="1" t="s">
        <v>1096</v>
      </c>
      <c r="F559" s="1" t="s">
        <v>76</v>
      </c>
      <c r="G559" s="1" t="s">
        <v>23</v>
      </c>
      <c r="H559" s="1" t="s">
        <v>19</v>
      </c>
      <c r="I559" s="1" t="s">
        <v>761</v>
      </c>
      <c r="J559" s="1" t="s">
        <v>762</v>
      </c>
      <c r="K559" s="1" t="str">
        <f>VLOOKUP(J559,'IU Major Match'!$D$2:$E$65,2,FALSE)</f>
        <v>Major Dont exists in IU</v>
      </c>
      <c r="L559" s="1">
        <v>81147004</v>
      </c>
      <c r="M559" s="1" t="s">
        <v>113</v>
      </c>
      <c r="N559" s="11">
        <v>99</v>
      </c>
      <c r="O559" s="11">
        <v>26</v>
      </c>
      <c r="P559" s="11">
        <v>16</v>
      </c>
      <c r="Q559" s="11">
        <v>60</v>
      </c>
      <c r="R559" s="5">
        <f t="shared" si="32"/>
        <v>0.42424242424242425</v>
      </c>
      <c r="S559" s="13" t="str">
        <f t="shared" si="33"/>
        <v>=&lt;50</v>
      </c>
      <c r="T559" s="14">
        <f t="shared" si="34"/>
        <v>4</v>
      </c>
      <c r="U559" s="14">
        <f t="shared" si="35"/>
        <v>2</v>
      </c>
    </row>
    <row r="560" spans="1:21" x14ac:dyDescent="0.25">
      <c r="A560" s="1">
        <v>62420003</v>
      </c>
      <c r="B560" s="1">
        <v>209215</v>
      </c>
      <c r="C560" s="1" t="s">
        <v>1092</v>
      </c>
      <c r="D560" s="1" t="s">
        <v>664</v>
      </c>
      <c r="E560" s="1" t="s">
        <v>1097</v>
      </c>
      <c r="F560" s="1" t="s">
        <v>76</v>
      </c>
      <c r="G560" s="1" t="s">
        <v>93</v>
      </c>
      <c r="H560" s="1" t="s">
        <v>19</v>
      </c>
      <c r="I560" s="1" t="s">
        <v>94</v>
      </c>
      <c r="J560" s="1" t="s">
        <v>95</v>
      </c>
      <c r="K560" s="1" t="str">
        <f>VLOOKUP(J560,'IU Major Match'!$D$2:$E$65,2,FALSE)</f>
        <v xml:space="preserve">Major exists in IU </v>
      </c>
      <c r="L560" s="1">
        <v>79191811</v>
      </c>
      <c r="M560" s="1" t="s">
        <v>128</v>
      </c>
      <c r="N560" s="11">
        <v>99</v>
      </c>
      <c r="O560" s="11">
        <v>51</v>
      </c>
      <c r="P560" s="11">
        <v>18</v>
      </c>
      <c r="Q560" s="11">
        <v>30</v>
      </c>
      <c r="R560" s="5">
        <f t="shared" si="32"/>
        <v>0.69696969696969702</v>
      </c>
      <c r="S560" s="13" t="str">
        <f t="shared" si="33"/>
        <v>&gt;50</v>
      </c>
      <c r="T560" s="14">
        <f t="shared" si="34"/>
        <v>2</v>
      </c>
      <c r="U560" s="14">
        <f t="shared" si="35"/>
        <v>1</v>
      </c>
    </row>
    <row r="561" spans="1:21" x14ac:dyDescent="0.25">
      <c r="A561" s="1">
        <v>62330320</v>
      </c>
      <c r="B561" s="1">
        <v>206166</v>
      </c>
      <c r="C561" s="1" t="s">
        <v>1092</v>
      </c>
      <c r="D561" s="1" t="s">
        <v>1098</v>
      </c>
      <c r="E561" s="1" t="s">
        <v>1099</v>
      </c>
      <c r="F561" s="1" t="s">
        <v>76</v>
      </c>
      <c r="G561" s="1" t="s">
        <v>23</v>
      </c>
      <c r="H561" s="1" t="s">
        <v>19</v>
      </c>
      <c r="I561" s="1" t="s">
        <v>159</v>
      </c>
      <c r="J561" s="1" t="s">
        <v>160</v>
      </c>
      <c r="K561" s="1" t="str">
        <f>VLOOKUP(J561,'IU Major Match'!$D$2:$E$65,2,FALSE)</f>
        <v xml:space="preserve">Major exists in IU </v>
      </c>
      <c r="L561" s="1">
        <v>3278221</v>
      </c>
      <c r="M561" s="1" t="s">
        <v>90</v>
      </c>
      <c r="N561" s="11">
        <v>99</v>
      </c>
      <c r="O561" s="11">
        <v>87</v>
      </c>
      <c r="P561" s="11">
        <v>12</v>
      </c>
      <c r="Q561" s="11">
        <v>0</v>
      </c>
      <c r="R561" s="5">
        <f t="shared" si="32"/>
        <v>1</v>
      </c>
      <c r="S561" s="13" t="str">
        <f t="shared" si="33"/>
        <v>&gt;50</v>
      </c>
      <c r="T561" s="14">
        <f t="shared" si="34"/>
        <v>0</v>
      </c>
      <c r="U561" s="14">
        <f t="shared" si="35"/>
        <v>0</v>
      </c>
    </row>
    <row r="562" spans="1:21" x14ac:dyDescent="0.25">
      <c r="A562" s="1">
        <v>62610017</v>
      </c>
      <c r="B562" s="1">
        <v>227236</v>
      </c>
      <c r="C562" s="1" t="s">
        <v>1092</v>
      </c>
      <c r="D562" s="1" t="s">
        <v>367</v>
      </c>
      <c r="E562" s="1" t="s">
        <v>1100</v>
      </c>
      <c r="F562" s="1" t="s">
        <v>76</v>
      </c>
      <c r="G562" s="1" t="s">
        <v>18</v>
      </c>
      <c r="H562" s="1" t="s">
        <v>19</v>
      </c>
      <c r="I562" s="1" t="s">
        <v>302</v>
      </c>
      <c r="J562" s="1" t="s">
        <v>303</v>
      </c>
      <c r="K562" s="1" t="str">
        <f>VLOOKUP(J562,'IU Major Match'!$D$2:$E$65,2,FALSE)</f>
        <v>Can be Transferred to Bachelor of Engineering</v>
      </c>
      <c r="L562" s="1">
        <v>96181080553</v>
      </c>
      <c r="M562" s="1" t="s">
        <v>84</v>
      </c>
      <c r="N562" s="11">
        <v>108</v>
      </c>
      <c r="O562" s="11">
        <v>0</v>
      </c>
      <c r="P562" s="11">
        <v>21</v>
      </c>
      <c r="Q562" s="11">
        <v>102</v>
      </c>
      <c r="R562" s="5">
        <f t="shared" si="32"/>
        <v>0.19444444444444445</v>
      </c>
      <c r="S562" s="13" t="str">
        <f t="shared" si="33"/>
        <v>=&lt;50</v>
      </c>
      <c r="T562" s="14">
        <f t="shared" si="34"/>
        <v>7</v>
      </c>
      <c r="U562" s="14">
        <f t="shared" si="35"/>
        <v>3.5</v>
      </c>
    </row>
    <row r="563" spans="1:21" x14ac:dyDescent="0.25">
      <c r="A563" s="1">
        <v>62510031</v>
      </c>
      <c r="B563" s="1">
        <v>217815</v>
      </c>
      <c r="C563" s="1" t="s">
        <v>1092</v>
      </c>
      <c r="D563" s="1" t="s">
        <v>929</v>
      </c>
      <c r="E563" s="1" t="s">
        <v>1101</v>
      </c>
      <c r="F563" s="1" t="s">
        <v>76</v>
      </c>
      <c r="G563" s="1" t="s">
        <v>23</v>
      </c>
      <c r="H563" s="1" t="s">
        <v>19</v>
      </c>
      <c r="I563" s="1" t="s">
        <v>142</v>
      </c>
      <c r="J563" s="1" t="s">
        <v>143</v>
      </c>
      <c r="K563" s="1" t="str">
        <f>VLOOKUP(J563,'IU Major Match'!$D$2:$E$65,2,FALSE)</f>
        <v xml:space="preserve">Major exists in IU </v>
      </c>
      <c r="L563" s="1">
        <v>70557038</v>
      </c>
      <c r="M563" s="1" t="s">
        <v>242</v>
      </c>
      <c r="N563" s="11">
        <v>99</v>
      </c>
      <c r="O563" s="11">
        <v>18</v>
      </c>
      <c r="P563" s="11">
        <v>12</v>
      </c>
      <c r="Q563" s="11">
        <v>69</v>
      </c>
      <c r="R563" s="5">
        <f t="shared" si="32"/>
        <v>0.30303030303030304</v>
      </c>
      <c r="S563" s="13" t="str">
        <f t="shared" si="33"/>
        <v>=&lt;50</v>
      </c>
      <c r="T563" s="14">
        <f t="shared" si="34"/>
        <v>5</v>
      </c>
      <c r="U563" s="14">
        <f t="shared" si="35"/>
        <v>2.5</v>
      </c>
    </row>
    <row r="564" spans="1:21" x14ac:dyDescent="0.25">
      <c r="A564" s="1">
        <v>62530092</v>
      </c>
      <c r="B564" s="1">
        <v>223930</v>
      </c>
      <c r="C564" s="1" t="s">
        <v>1102</v>
      </c>
      <c r="D564" s="1" t="s">
        <v>421</v>
      </c>
      <c r="E564" s="1" t="s">
        <v>807</v>
      </c>
      <c r="F564" s="1" t="s">
        <v>76</v>
      </c>
      <c r="G564" s="1" t="s">
        <v>23</v>
      </c>
      <c r="H564" s="1" t="s">
        <v>19</v>
      </c>
      <c r="I564" s="1" t="s">
        <v>142</v>
      </c>
      <c r="J564" s="1" t="s">
        <v>143</v>
      </c>
      <c r="K564" s="1" t="str">
        <f>VLOOKUP(J564,'IU Major Match'!$D$2:$E$65,2,FALSE)</f>
        <v xml:space="preserve">Major exists in IU </v>
      </c>
      <c r="L564" s="1">
        <v>81401993</v>
      </c>
      <c r="M564" s="1" t="s">
        <v>99</v>
      </c>
      <c r="N564" s="11">
        <v>99</v>
      </c>
      <c r="O564" s="11">
        <v>15</v>
      </c>
      <c r="P564" s="11">
        <v>18</v>
      </c>
      <c r="Q564" s="11">
        <v>66</v>
      </c>
      <c r="R564" s="5">
        <f t="shared" si="32"/>
        <v>0.33333333333333331</v>
      </c>
      <c r="S564" s="13" t="str">
        <f t="shared" si="33"/>
        <v>=&lt;50</v>
      </c>
      <c r="T564" s="14">
        <f t="shared" si="34"/>
        <v>5</v>
      </c>
      <c r="U564" s="14">
        <f t="shared" si="35"/>
        <v>2.5</v>
      </c>
    </row>
    <row r="565" spans="1:21" x14ac:dyDescent="0.25">
      <c r="A565" s="1">
        <v>62230372</v>
      </c>
      <c r="B565" s="1">
        <v>193171</v>
      </c>
      <c r="C565" s="1" t="s">
        <v>948</v>
      </c>
      <c r="D565" s="1" t="s">
        <v>451</v>
      </c>
      <c r="E565" s="1" t="s">
        <v>1103</v>
      </c>
      <c r="F565" s="1" t="s">
        <v>76</v>
      </c>
      <c r="G565" s="1" t="s">
        <v>93</v>
      </c>
      <c r="H565" s="1" t="s">
        <v>19</v>
      </c>
      <c r="I565" s="1" t="s">
        <v>111</v>
      </c>
      <c r="J565" s="1" t="s">
        <v>112</v>
      </c>
      <c r="K565" s="1" t="str">
        <f>VLOOKUP(J565,'IU Major Match'!$D$2:$E$65,2,FALSE)</f>
        <v xml:space="preserve">Major exists in IU </v>
      </c>
      <c r="L565" s="1">
        <v>96178883996</v>
      </c>
      <c r="M565" s="1" t="s">
        <v>153</v>
      </c>
      <c r="N565" s="11">
        <v>99</v>
      </c>
      <c r="O565" s="11">
        <v>72</v>
      </c>
      <c r="P565" s="11">
        <v>18</v>
      </c>
      <c r="Q565" s="11">
        <v>9</v>
      </c>
      <c r="R565" s="5">
        <f t="shared" si="32"/>
        <v>0.90909090909090906</v>
      </c>
      <c r="S565" s="13" t="str">
        <f t="shared" si="33"/>
        <v>&gt;50</v>
      </c>
      <c r="T565" s="14">
        <f t="shared" si="34"/>
        <v>1</v>
      </c>
      <c r="U565" s="14">
        <f t="shared" si="35"/>
        <v>0.5</v>
      </c>
    </row>
    <row r="566" spans="1:21" x14ac:dyDescent="0.25">
      <c r="A566" s="1">
        <v>62410017</v>
      </c>
      <c r="B566" s="1">
        <v>207961</v>
      </c>
      <c r="C566" s="1" t="s">
        <v>268</v>
      </c>
      <c r="D566" s="1" t="s">
        <v>590</v>
      </c>
      <c r="E566" s="1" t="s">
        <v>408</v>
      </c>
      <c r="F566" s="1" t="s">
        <v>76</v>
      </c>
      <c r="G566" s="1" t="s">
        <v>93</v>
      </c>
      <c r="H566" s="1" t="s">
        <v>19</v>
      </c>
      <c r="I566" s="1" t="s">
        <v>94</v>
      </c>
      <c r="J566" s="1" t="s">
        <v>95</v>
      </c>
      <c r="K566" s="1" t="str">
        <f>VLOOKUP(J566,'IU Major Match'!$D$2:$E$65,2,FALSE)</f>
        <v xml:space="preserve">Major exists in IU </v>
      </c>
      <c r="L566" s="1">
        <v>96178934234</v>
      </c>
      <c r="M566" s="1" t="s">
        <v>362</v>
      </c>
      <c r="N566" s="11">
        <v>99</v>
      </c>
      <c r="O566" s="11">
        <v>39</v>
      </c>
      <c r="P566" s="11">
        <v>12</v>
      </c>
      <c r="Q566" s="11">
        <v>48</v>
      </c>
      <c r="R566" s="5">
        <f t="shared" si="32"/>
        <v>0.51515151515151514</v>
      </c>
      <c r="S566" s="13" t="str">
        <f t="shared" si="33"/>
        <v>&gt;50</v>
      </c>
      <c r="T566" s="14">
        <f t="shared" si="34"/>
        <v>4</v>
      </c>
      <c r="U566" s="14">
        <f t="shared" si="35"/>
        <v>2</v>
      </c>
    </row>
    <row r="567" spans="1:21" x14ac:dyDescent="0.25">
      <c r="A567" s="1">
        <v>62130276</v>
      </c>
      <c r="B567" s="1">
        <v>172839</v>
      </c>
      <c r="C567" s="1" t="s">
        <v>1104</v>
      </c>
      <c r="D567" s="1" t="s">
        <v>261</v>
      </c>
      <c r="E567" s="1" t="s">
        <v>1105</v>
      </c>
      <c r="F567" s="1" t="s">
        <v>76</v>
      </c>
      <c r="G567" s="1" t="s">
        <v>23</v>
      </c>
      <c r="H567" s="1" t="s">
        <v>19</v>
      </c>
      <c r="I567" s="1" t="s">
        <v>116</v>
      </c>
      <c r="J567" s="1" t="s">
        <v>117</v>
      </c>
      <c r="K567" s="1" t="str">
        <f>VLOOKUP(J567,'IU Major Match'!$D$2:$E$65,2,FALSE)</f>
        <v>Major Dont exists in IU</v>
      </c>
      <c r="L567" s="1">
        <v>70522862</v>
      </c>
      <c r="M567" s="1" t="s">
        <v>79</v>
      </c>
      <c r="N567" s="11">
        <v>99</v>
      </c>
      <c r="O567" s="11">
        <v>85</v>
      </c>
      <c r="P567" s="11">
        <v>14</v>
      </c>
      <c r="Q567" s="11">
        <v>0</v>
      </c>
      <c r="R567" s="5">
        <f t="shared" si="32"/>
        <v>1</v>
      </c>
      <c r="S567" s="13" t="str">
        <f t="shared" si="33"/>
        <v>&gt;50</v>
      </c>
      <c r="T567" s="14">
        <f t="shared" si="34"/>
        <v>0</v>
      </c>
      <c r="U567" s="14">
        <f t="shared" si="35"/>
        <v>0</v>
      </c>
    </row>
    <row r="568" spans="1:21" x14ac:dyDescent="0.25">
      <c r="A568" s="1">
        <v>62230047</v>
      </c>
      <c r="B568" s="1">
        <v>186423</v>
      </c>
      <c r="C568" s="1" t="s">
        <v>1104</v>
      </c>
      <c r="D568" s="1" t="s">
        <v>547</v>
      </c>
      <c r="E568" s="1" t="s">
        <v>1106</v>
      </c>
      <c r="F568" s="1" t="s">
        <v>76</v>
      </c>
      <c r="G568" s="1" t="s">
        <v>93</v>
      </c>
      <c r="H568" s="1" t="s">
        <v>19</v>
      </c>
      <c r="I568" s="1" t="s">
        <v>111</v>
      </c>
      <c r="J568" s="1" t="s">
        <v>112</v>
      </c>
      <c r="K568" s="1" t="str">
        <f>VLOOKUP(J568,'IU Major Match'!$D$2:$E$65,2,FALSE)</f>
        <v xml:space="preserve">Major exists in IU </v>
      </c>
      <c r="L568" s="1">
        <v>76598579</v>
      </c>
      <c r="M568" s="1" t="s">
        <v>153</v>
      </c>
      <c r="N568" s="11">
        <v>99</v>
      </c>
      <c r="O568" s="11">
        <v>36</v>
      </c>
      <c r="P568" s="11">
        <v>12</v>
      </c>
      <c r="Q568" s="11">
        <v>51</v>
      </c>
      <c r="R568" s="5">
        <f t="shared" si="32"/>
        <v>0.48484848484848486</v>
      </c>
      <c r="S568" s="13" t="str">
        <f t="shared" si="33"/>
        <v>=&lt;50</v>
      </c>
      <c r="T568" s="14">
        <f t="shared" si="34"/>
        <v>4</v>
      </c>
      <c r="U568" s="14">
        <f t="shared" si="35"/>
        <v>2</v>
      </c>
    </row>
    <row r="569" spans="1:21" x14ac:dyDescent="0.25">
      <c r="A569" s="1">
        <v>62530145</v>
      </c>
      <c r="B569" s="1">
        <v>222267</v>
      </c>
      <c r="C569" s="1" t="s">
        <v>731</v>
      </c>
      <c r="D569" s="1" t="s">
        <v>70</v>
      </c>
      <c r="E569" s="1" t="s">
        <v>1107</v>
      </c>
      <c r="F569" s="1" t="s">
        <v>76</v>
      </c>
      <c r="G569" s="1" t="s">
        <v>23</v>
      </c>
      <c r="H569" s="1" t="s">
        <v>19</v>
      </c>
      <c r="I569" s="1" t="s">
        <v>1108</v>
      </c>
      <c r="J569" s="1" t="s">
        <v>1109</v>
      </c>
      <c r="K569" s="1" t="str">
        <f>VLOOKUP(J569,'IU Major Match'!$D$2:$E$65,2,FALSE)</f>
        <v xml:space="preserve">Major exists in IU </v>
      </c>
      <c r="L569" s="1">
        <v>96181438619</v>
      </c>
      <c r="M569" s="1" t="s">
        <v>99</v>
      </c>
      <c r="N569" s="11">
        <v>99</v>
      </c>
      <c r="O569" s="11">
        <v>9</v>
      </c>
      <c r="P569" s="11">
        <v>16</v>
      </c>
      <c r="Q569" s="11">
        <v>75</v>
      </c>
      <c r="R569" s="5">
        <f t="shared" si="32"/>
        <v>0.25252525252525254</v>
      </c>
      <c r="S569" s="13" t="str">
        <f t="shared" si="33"/>
        <v>=&lt;50</v>
      </c>
      <c r="T569" s="14">
        <f t="shared" si="34"/>
        <v>5</v>
      </c>
      <c r="U569" s="14">
        <f t="shared" si="35"/>
        <v>2.5</v>
      </c>
    </row>
    <row r="570" spans="1:21" x14ac:dyDescent="0.25">
      <c r="A570" s="1">
        <v>62530226</v>
      </c>
      <c r="B570" s="1">
        <v>224576</v>
      </c>
      <c r="C570" s="1" t="s">
        <v>731</v>
      </c>
      <c r="D570" s="1" t="s">
        <v>15</v>
      </c>
      <c r="E570" s="1" t="s">
        <v>1110</v>
      </c>
      <c r="F570" s="1" t="s">
        <v>76</v>
      </c>
      <c r="G570" s="1" t="s">
        <v>93</v>
      </c>
      <c r="H570" s="1" t="s">
        <v>19</v>
      </c>
      <c r="I570" s="1" t="s">
        <v>216</v>
      </c>
      <c r="J570" s="1" t="s">
        <v>217</v>
      </c>
      <c r="K570" s="1" t="str">
        <f>VLOOKUP(J570,'IU Major Match'!$D$2:$E$65,2,FALSE)</f>
        <v xml:space="preserve">Major exists in IU </v>
      </c>
      <c r="L570" s="1">
        <v>3157408</v>
      </c>
      <c r="M570" s="1" t="s">
        <v>99</v>
      </c>
      <c r="N570" s="11">
        <v>99</v>
      </c>
      <c r="O570" s="11">
        <v>6</v>
      </c>
      <c r="P570" s="11">
        <v>10</v>
      </c>
      <c r="Q570" s="11">
        <v>87</v>
      </c>
      <c r="R570" s="5">
        <f t="shared" si="32"/>
        <v>0.16161616161616163</v>
      </c>
      <c r="S570" s="13" t="str">
        <f t="shared" si="33"/>
        <v>=&lt;50</v>
      </c>
      <c r="T570" s="14">
        <f t="shared" si="34"/>
        <v>6</v>
      </c>
      <c r="U570" s="14">
        <f t="shared" si="35"/>
        <v>3</v>
      </c>
    </row>
    <row r="571" spans="1:21" x14ac:dyDescent="0.25">
      <c r="A571" s="1">
        <v>62430301</v>
      </c>
      <c r="B571" s="1">
        <v>216377</v>
      </c>
      <c r="C571" s="1" t="s">
        <v>1111</v>
      </c>
      <c r="D571" s="1" t="s">
        <v>670</v>
      </c>
      <c r="E571" s="1" t="s">
        <v>1112</v>
      </c>
      <c r="F571" s="1" t="s">
        <v>76</v>
      </c>
      <c r="G571" s="1" t="s">
        <v>18</v>
      </c>
      <c r="H571" s="1" t="s">
        <v>19</v>
      </c>
      <c r="I571" s="1" t="s">
        <v>82</v>
      </c>
      <c r="J571" s="1" t="s">
        <v>83</v>
      </c>
      <c r="K571" s="1" t="str">
        <f>VLOOKUP(J571,'IU Major Match'!$D$2:$E$65,2,FALSE)</f>
        <v>Can be Transferred to Bachelor of Engineering</v>
      </c>
      <c r="L571" s="1">
        <v>76195548</v>
      </c>
      <c r="M571" s="1" t="s">
        <v>113</v>
      </c>
      <c r="N571" s="11">
        <v>108</v>
      </c>
      <c r="O571" s="11">
        <v>47</v>
      </c>
      <c r="P571" s="11">
        <v>14</v>
      </c>
      <c r="Q571" s="11">
        <v>47</v>
      </c>
      <c r="R571" s="5">
        <f t="shared" si="32"/>
        <v>0.56481481481481477</v>
      </c>
      <c r="S571" s="13" t="str">
        <f t="shared" si="33"/>
        <v>&gt;50</v>
      </c>
      <c r="T571" s="14">
        <f t="shared" si="34"/>
        <v>4</v>
      </c>
      <c r="U571" s="14">
        <f t="shared" si="35"/>
        <v>2</v>
      </c>
    </row>
    <row r="572" spans="1:21" x14ac:dyDescent="0.25">
      <c r="A572" s="1">
        <v>62530047</v>
      </c>
      <c r="B572" s="1">
        <v>219789</v>
      </c>
      <c r="C572" s="1" t="s">
        <v>1113</v>
      </c>
      <c r="D572" s="1" t="s">
        <v>451</v>
      </c>
      <c r="E572" s="1" t="s">
        <v>1114</v>
      </c>
      <c r="F572" s="1" t="s">
        <v>76</v>
      </c>
      <c r="G572" s="1" t="s">
        <v>23</v>
      </c>
      <c r="H572" s="1" t="s">
        <v>19</v>
      </c>
      <c r="I572" s="1" t="s">
        <v>277</v>
      </c>
      <c r="J572" s="1" t="s">
        <v>278</v>
      </c>
      <c r="K572" s="1" t="str">
        <f>VLOOKUP(J572,'IU Major Match'!$D$2:$E$65,2,FALSE)</f>
        <v>Major Dont exists in IU</v>
      </c>
      <c r="L572" s="1">
        <v>96181812580</v>
      </c>
      <c r="M572" s="1" t="s">
        <v>99</v>
      </c>
      <c r="N572" s="11">
        <v>99</v>
      </c>
      <c r="O572" s="11">
        <v>13</v>
      </c>
      <c r="P572" s="11">
        <v>14</v>
      </c>
      <c r="Q572" s="11">
        <v>72</v>
      </c>
      <c r="R572" s="5">
        <f t="shared" si="32"/>
        <v>0.27272727272727271</v>
      </c>
      <c r="S572" s="13" t="str">
        <f t="shared" si="33"/>
        <v>=&lt;50</v>
      </c>
      <c r="T572" s="14">
        <f t="shared" si="34"/>
        <v>5</v>
      </c>
      <c r="U572" s="14">
        <f t="shared" si="35"/>
        <v>2.5</v>
      </c>
    </row>
    <row r="573" spans="1:21" x14ac:dyDescent="0.25">
      <c r="A573" s="1">
        <v>62130238</v>
      </c>
      <c r="B573" s="1">
        <v>171270</v>
      </c>
      <c r="C573" s="1" t="s">
        <v>1113</v>
      </c>
      <c r="D573" s="1" t="s">
        <v>378</v>
      </c>
      <c r="E573" s="1" t="s">
        <v>1115</v>
      </c>
      <c r="F573" s="1" t="s">
        <v>76</v>
      </c>
      <c r="G573" s="1" t="s">
        <v>93</v>
      </c>
      <c r="H573" s="1" t="s">
        <v>19</v>
      </c>
      <c r="I573" s="1" t="s">
        <v>94</v>
      </c>
      <c r="J573" s="1" t="s">
        <v>95</v>
      </c>
      <c r="K573" s="1" t="str">
        <f>VLOOKUP(J573,'IU Major Match'!$D$2:$E$65,2,FALSE)</f>
        <v xml:space="preserve">Major exists in IU </v>
      </c>
      <c r="L573" s="1">
        <v>96176021385</v>
      </c>
      <c r="M573" s="1" t="s">
        <v>79</v>
      </c>
      <c r="N573" s="11">
        <v>99</v>
      </c>
      <c r="O573" s="11">
        <v>84</v>
      </c>
      <c r="P573" s="11">
        <v>12</v>
      </c>
      <c r="Q573" s="11">
        <v>3</v>
      </c>
      <c r="R573" s="5">
        <f t="shared" si="32"/>
        <v>0.96969696969696972</v>
      </c>
      <c r="S573" s="13" t="str">
        <f t="shared" si="33"/>
        <v>&gt;50</v>
      </c>
      <c r="T573" s="14">
        <f t="shared" si="34"/>
        <v>1</v>
      </c>
      <c r="U573" s="14">
        <f t="shared" si="35"/>
        <v>0.5</v>
      </c>
    </row>
    <row r="574" spans="1:21" x14ac:dyDescent="0.25">
      <c r="A574" s="1">
        <v>62410009</v>
      </c>
      <c r="B574" s="1">
        <v>207953</v>
      </c>
      <c r="C574" s="1" t="s">
        <v>1116</v>
      </c>
      <c r="D574" s="1" t="s">
        <v>119</v>
      </c>
      <c r="E574" s="1" t="s">
        <v>502</v>
      </c>
      <c r="F574" s="1" t="s">
        <v>76</v>
      </c>
      <c r="G574" s="1" t="s">
        <v>93</v>
      </c>
      <c r="H574" s="1" t="s">
        <v>19</v>
      </c>
      <c r="I574" s="1" t="s">
        <v>345</v>
      </c>
      <c r="J574" s="1" t="s">
        <v>346</v>
      </c>
      <c r="K574" s="1" t="str">
        <f>VLOOKUP(J574,'IU Major Match'!$D$2:$E$65,2,FALSE)</f>
        <v xml:space="preserve">Major exists in IU </v>
      </c>
      <c r="L574" s="1">
        <v>96178980760</v>
      </c>
      <c r="M574" s="1" t="s">
        <v>362</v>
      </c>
      <c r="N574" s="11">
        <v>99</v>
      </c>
      <c r="O574" s="11">
        <v>27</v>
      </c>
      <c r="P574" s="11">
        <v>9</v>
      </c>
      <c r="Q574" s="11">
        <v>63</v>
      </c>
      <c r="R574" s="5">
        <f t="shared" si="32"/>
        <v>0.36363636363636365</v>
      </c>
      <c r="S574" s="13" t="str">
        <f t="shared" si="33"/>
        <v>=&lt;50</v>
      </c>
      <c r="T574" s="14">
        <f t="shared" si="34"/>
        <v>5</v>
      </c>
      <c r="U574" s="14">
        <f t="shared" si="35"/>
        <v>2.5</v>
      </c>
    </row>
    <row r="575" spans="1:21" x14ac:dyDescent="0.25">
      <c r="A575" s="1">
        <v>62530209</v>
      </c>
      <c r="B575" s="1">
        <v>225924</v>
      </c>
      <c r="C575" s="1" t="s">
        <v>1116</v>
      </c>
      <c r="D575" s="1" t="s">
        <v>261</v>
      </c>
      <c r="E575" s="1" t="s">
        <v>507</v>
      </c>
      <c r="F575" s="1" t="s">
        <v>76</v>
      </c>
      <c r="G575" s="1" t="s">
        <v>23</v>
      </c>
      <c r="H575" s="1" t="s">
        <v>19</v>
      </c>
      <c r="I575" s="1" t="s">
        <v>1117</v>
      </c>
      <c r="J575" s="1" t="s">
        <v>1118</v>
      </c>
      <c r="K575" s="1" t="str">
        <f>VLOOKUP(J575,'IU Major Match'!$D$2:$E$65,2,FALSE)</f>
        <v xml:space="preserve">Major exists in IU </v>
      </c>
      <c r="L575" s="1">
        <v>9613417709</v>
      </c>
      <c r="M575" s="1" t="s">
        <v>99</v>
      </c>
      <c r="N575" s="11">
        <v>108</v>
      </c>
      <c r="O575" s="11">
        <v>54</v>
      </c>
      <c r="P575" s="11">
        <v>18</v>
      </c>
      <c r="Q575" s="11">
        <v>36</v>
      </c>
      <c r="R575" s="5">
        <f t="shared" si="32"/>
        <v>0.66666666666666663</v>
      </c>
      <c r="S575" s="13" t="str">
        <f t="shared" si="33"/>
        <v>&gt;50</v>
      </c>
      <c r="T575" s="14">
        <f t="shared" si="34"/>
        <v>3</v>
      </c>
      <c r="U575" s="14">
        <f t="shared" si="35"/>
        <v>1.5</v>
      </c>
    </row>
    <row r="576" spans="1:21" x14ac:dyDescent="0.25">
      <c r="A576" s="1">
        <v>62330166</v>
      </c>
      <c r="B576" s="1">
        <v>200558</v>
      </c>
      <c r="C576" s="1" t="s">
        <v>1119</v>
      </c>
      <c r="D576" s="1" t="s">
        <v>1120</v>
      </c>
      <c r="E576" s="1" t="s">
        <v>1121</v>
      </c>
      <c r="F576" s="1" t="s">
        <v>76</v>
      </c>
      <c r="G576" s="1" t="s">
        <v>23</v>
      </c>
      <c r="H576" s="1" t="s">
        <v>19</v>
      </c>
      <c r="I576" s="1" t="s">
        <v>103</v>
      </c>
      <c r="J576" s="1" t="s">
        <v>104</v>
      </c>
      <c r="K576" s="1" t="str">
        <f>VLOOKUP(J576,'IU Major Match'!$D$2:$E$65,2,FALSE)</f>
        <v xml:space="preserve">Major exists in IU </v>
      </c>
      <c r="L576" s="1">
        <v>71912326</v>
      </c>
      <c r="M576" s="1" t="s">
        <v>90</v>
      </c>
      <c r="N576" s="11">
        <v>100</v>
      </c>
      <c r="O576" s="11">
        <v>41</v>
      </c>
      <c r="P576" s="11">
        <v>15</v>
      </c>
      <c r="Q576" s="11">
        <v>44</v>
      </c>
      <c r="R576" s="5">
        <f t="shared" si="32"/>
        <v>0.56000000000000005</v>
      </c>
      <c r="S576" s="13" t="str">
        <f t="shared" si="33"/>
        <v>&gt;50</v>
      </c>
      <c r="T576" s="14">
        <f t="shared" si="34"/>
        <v>3</v>
      </c>
      <c r="U576" s="14">
        <f t="shared" si="35"/>
        <v>1.5</v>
      </c>
    </row>
    <row r="577" spans="1:21" x14ac:dyDescent="0.25">
      <c r="A577" s="1">
        <v>62330027</v>
      </c>
      <c r="B577" s="1">
        <v>216505</v>
      </c>
      <c r="C577" s="1" t="s">
        <v>1119</v>
      </c>
      <c r="D577" s="1" t="s">
        <v>653</v>
      </c>
      <c r="E577" s="1" t="s">
        <v>1122</v>
      </c>
      <c r="F577" s="1" t="s">
        <v>76</v>
      </c>
      <c r="G577" s="1" t="s">
        <v>93</v>
      </c>
      <c r="H577" s="1" t="s">
        <v>19</v>
      </c>
      <c r="I577" s="1" t="s">
        <v>94</v>
      </c>
      <c r="J577" s="1" t="s">
        <v>95</v>
      </c>
      <c r="K577" s="1" t="str">
        <f>VLOOKUP(J577,'IU Major Match'!$D$2:$E$65,2,FALSE)</f>
        <v xml:space="preserve">Major exists in IU </v>
      </c>
      <c r="L577" s="1">
        <v>96171514397</v>
      </c>
      <c r="M577" s="1" t="s">
        <v>113</v>
      </c>
      <c r="N577" s="11">
        <v>99</v>
      </c>
      <c r="O577" s="11">
        <v>48</v>
      </c>
      <c r="P577" s="11">
        <v>18</v>
      </c>
      <c r="Q577" s="11">
        <v>33</v>
      </c>
      <c r="R577" s="5">
        <f t="shared" si="32"/>
        <v>0.66666666666666663</v>
      </c>
      <c r="S577" s="13" t="str">
        <f t="shared" si="33"/>
        <v>&gt;50</v>
      </c>
      <c r="T577" s="14">
        <f t="shared" si="34"/>
        <v>3</v>
      </c>
      <c r="U577" s="14">
        <f t="shared" si="35"/>
        <v>1.5</v>
      </c>
    </row>
    <row r="578" spans="1:21" x14ac:dyDescent="0.25">
      <c r="A578" s="1">
        <v>62530006</v>
      </c>
      <c r="B578" s="1">
        <v>219808</v>
      </c>
      <c r="C578" s="1" t="s">
        <v>1119</v>
      </c>
      <c r="D578" s="1" t="s">
        <v>1123</v>
      </c>
      <c r="E578" s="1" t="s">
        <v>1124</v>
      </c>
      <c r="F578" s="1" t="s">
        <v>76</v>
      </c>
      <c r="G578" s="1" t="s">
        <v>23</v>
      </c>
      <c r="H578" s="1" t="s">
        <v>19</v>
      </c>
      <c r="I578" s="1" t="s">
        <v>226</v>
      </c>
      <c r="J578" s="1" t="s">
        <v>227</v>
      </c>
      <c r="K578" s="1" t="str">
        <f>VLOOKUP(J578,'IU Major Match'!$D$2:$E$65,2,FALSE)</f>
        <v>Major Dont exists in IU</v>
      </c>
      <c r="L578" s="1">
        <v>96181628761</v>
      </c>
      <c r="M578" s="1" t="s">
        <v>99</v>
      </c>
      <c r="N578" s="11">
        <v>99</v>
      </c>
      <c r="O578" s="11">
        <v>11</v>
      </c>
      <c r="P578" s="11">
        <v>14</v>
      </c>
      <c r="Q578" s="11">
        <v>74</v>
      </c>
      <c r="R578" s="5">
        <f t="shared" si="32"/>
        <v>0.25252525252525254</v>
      </c>
      <c r="S578" s="13" t="str">
        <f t="shared" si="33"/>
        <v>=&lt;50</v>
      </c>
      <c r="T578" s="14">
        <f t="shared" si="34"/>
        <v>5</v>
      </c>
      <c r="U578" s="14">
        <f t="shared" si="35"/>
        <v>2.5</v>
      </c>
    </row>
    <row r="579" spans="1:21" x14ac:dyDescent="0.25">
      <c r="A579" s="1">
        <v>62110023</v>
      </c>
      <c r="B579" s="1">
        <v>164221</v>
      </c>
      <c r="C579" s="1" t="s">
        <v>1125</v>
      </c>
      <c r="D579" s="1" t="s">
        <v>187</v>
      </c>
      <c r="E579" s="1" t="s">
        <v>1126</v>
      </c>
      <c r="F579" s="1" t="s">
        <v>76</v>
      </c>
      <c r="G579" s="1" t="s">
        <v>23</v>
      </c>
      <c r="H579" s="1" t="s">
        <v>19</v>
      </c>
      <c r="I579" s="1" t="s">
        <v>116</v>
      </c>
      <c r="J579" s="1" t="s">
        <v>117</v>
      </c>
      <c r="K579" s="1" t="str">
        <f>VLOOKUP(J579,'IU Major Match'!$D$2:$E$65,2,FALSE)</f>
        <v>Major Dont exists in IU</v>
      </c>
      <c r="L579" s="1">
        <v>96176641858</v>
      </c>
      <c r="M579" s="1" t="s">
        <v>162</v>
      </c>
      <c r="N579" s="11">
        <v>99</v>
      </c>
      <c r="O579" s="11">
        <v>85</v>
      </c>
      <c r="P579" s="11">
        <v>10</v>
      </c>
      <c r="Q579" s="11">
        <v>4</v>
      </c>
      <c r="R579" s="5">
        <f t="shared" ref="R579:R642" si="36">(O579+P579)/N579</f>
        <v>0.95959595959595956</v>
      </c>
      <c r="S579" s="13" t="str">
        <f t="shared" ref="S579:S642" si="37">IF(R579&lt;=50%,"=&lt;50","&gt;50")</f>
        <v>&gt;50</v>
      </c>
      <c r="T579" s="14">
        <f t="shared" ref="T579:T642" si="38">ROUNDUP(Q579/15,0)</f>
        <v>1</v>
      </c>
      <c r="U579" s="14">
        <f t="shared" ref="U579:U642" si="39">T579/2</f>
        <v>0.5</v>
      </c>
    </row>
    <row r="580" spans="1:21" x14ac:dyDescent="0.25">
      <c r="A580" s="1">
        <v>62230233</v>
      </c>
      <c r="B580" s="1">
        <v>189114</v>
      </c>
      <c r="C580" s="1" t="s">
        <v>1127</v>
      </c>
      <c r="D580" s="1" t="s">
        <v>383</v>
      </c>
      <c r="E580" s="1" t="s">
        <v>795</v>
      </c>
      <c r="F580" s="1" t="s">
        <v>76</v>
      </c>
      <c r="G580" s="1" t="s">
        <v>93</v>
      </c>
      <c r="H580" s="1" t="s">
        <v>19</v>
      </c>
      <c r="I580" s="1" t="s">
        <v>94</v>
      </c>
      <c r="J580" s="1" t="s">
        <v>95</v>
      </c>
      <c r="K580" s="1" t="str">
        <f>VLOOKUP(J580,'IU Major Match'!$D$2:$E$65,2,FALSE)</f>
        <v xml:space="preserve">Major exists in IU </v>
      </c>
      <c r="L580" s="1">
        <v>81399064</v>
      </c>
      <c r="M580" s="1" t="s">
        <v>153</v>
      </c>
      <c r="N580" s="11">
        <v>99</v>
      </c>
      <c r="O580" s="11">
        <v>33</v>
      </c>
      <c r="P580" s="11">
        <v>12</v>
      </c>
      <c r="Q580" s="11">
        <v>54</v>
      </c>
      <c r="R580" s="5">
        <f t="shared" si="36"/>
        <v>0.45454545454545453</v>
      </c>
      <c r="S580" s="13" t="str">
        <f t="shared" si="37"/>
        <v>=&lt;50</v>
      </c>
      <c r="T580" s="14">
        <f t="shared" si="38"/>
        <v>4</v>
      </c>
      <c r="U580" s="14">
        <f t="shared" si="39"/>
        <v>2</v>
      </c>
    </row>
    <row r="581" spans="1:21" x14ac:dyDescent="0.25">
      <c r="A581" s="1">
        <v>62530028</v>
      </c>
      <c r="B581" s="1">
        <v>219375</v>
      </c>
      <c r="C581" s="1" t="s">
        <v>1020</v>
      </c>
      <c r="D581" s="1" t="s">
        <v>43</v>
      </c>
      <c r="E581" s="1" t="s">
        <v>1128</v>
      </c>
      <c r="F581" s="1" t="s">
        <v>76</v>
      </c>
      <c r="G581" s="1" t="s">
        <v>23</v>
      </c>
      <c r="H581" s="1" t="s">
        <v>19</v>
      </c>
      <c r="I581" s="1" t="s">
        <v>890</v>
      </c>
      <c r="J581" s="1" t="s">
        <v>891</v>
      </c>
      <c r="K581" s="1" t="str">
        <f>VLOOKUP(J581,'IU Major Match'!$D$2:$E$65,2,FALSE)</f>
        <v xml:space="preserve">Major exists in IU </v>
      </c>
      <c r="L581" s="1">
        <v>96176667188</v>
      </c>
      <c r="M581" s="1" t="s">
        <v>99</v>
      </c>
      <c r="N581" s="11">
        <v>108</v>
      </c>
      <c r="O581" s="11">
        <v>3</v>
      </c>
      <c r="P581" s="11">
        <v>12</v>
      </c>
      <c r="Q581" s="11">
        <v>93</v>
      </c>
      <c r="R581" s="5">
        <f t="shared" si="36"/>
        <v>0.1388888888888889</v>
      </c>
      <c r="S581" s="13" t="str">
        <f t="shared" si="37"/>
        <v>=&lt;50</v>
      </c>
      <c r="T581" s="14">
        <f t="shared" si="38"/>
        <v>7</v>
      </c>
      <c r="U581" s="14">
        <f t="shared" si="39"/>
        <v>3.5</v>
      </c>
    </row>
    <row r="582" spans="1:21" x14ac:dyDescent="0.25">
      <c r="A582" s="1">
        <v>62030258</v>
      </c>
      <c r="B582" s="1">
        <v>156765</v>
      </c>
      <c r="C582" s="1" t="s">
        <v>1020</v>
      </c>
      <c r="D582" s="1" t="s">
        <v>426</v>
      </c>
      <c r="E582" s="1" t="s">
        <v>239</v>
      </c>
      <c r="F582" s="1" t="s">
        <v>76</v>
      </c>
      <c r="G582" s="1" t="s">
        <v>18</v>
      </c>
      <c r="H582" s="1" t="s">
        <v>19</v>
      </c>
      <c r="I582" s="1" t="s">
        <v>164</v>
      </c>
      <c r="J582" s="1" t="s">
        <v>165</v>
      </c>
      <c r="K582" s="1" t="str">
        <f>VLOOKUP(J582,'IU Major Match'!$D$2:$E$65,2,FALSE)</f>
        <v>Can be Transferred to Bachelor of Engineering</v>
      </c>
      <c r="L582" s="1">
        <v>76425841</v>
      </c>
      <c r="M582" s="1" t="s">
        <v>51</v>
      </c>
      <c r="N582" s="11">
        <v>108</v>
      </c>
      <c r="O582" s="11">
        <v>73</v>
      </c>
      <c r="P582" s="11">
        <v>9</v>
      </c>
      <c r="Q582" s="11">
        <v>26</v>
      </c>
      <c r="R582" s="5">
        <f t="shared" si="36"/>
        <v>0.7592592592592593</v>
      </c>
      <c r="S582" s="13" t="str">
        <f t="shared" si="37"/>
        <v>&gt;50</v>
      </c>
      <c r="T582" s="14">
        <f t="shared" si="38"/>
        <v>2</v>
      </c>
      <c r="U582" s="14">
        <f t="shared" si="39"/>
        <v>1</v>
      </c>
    </row>
    <row r="583" spans="1:21" x14ac:dyDescent="0.25">
      <c r="A583" s="1">
        <v>62330199</v>
      </c>
      <c r="B583" s="1">
        <v>202619</v>
      </c>
      <c r="C583" s="1" t="s">
        <v>1129</v>
      </c>
      <c r="D583" s="1" t="s">
        <v>1130</v>
      </c>
      <c r="E583" s="1" t="s">
        <v>1075</v>
      </c>
      <c r="F583" s="1" t="s">
        <v>76</v>
      </c>
      <c r="G583" s="1" t="s">
        <v>93</v>
      </c>
      <c r="H583" s="1" t="s">
        <v>19</v>
      </c>
      <c r="I583" s="1" t="s">
        <v>168</v>
      </c>
      <c r="J583" s="1" t="s">
        <v>169</v>
      </c>
      <c r="K583" s="1" t="str">
        <f>VLOOKUP(J583,'IU Major Match'!$D$2:$E$65,2,FALSE)</f>
        <v>Major Dont exists in IU</v>
      </c>
      <c r="L583" s="1">
        <v>3485420</v>
      </c>
      <c r="M583" s="1" t="s">
        <v>90</v>
      </c>
      <c r="N583" s="11">
        <v>99</v>
      </c>
      <c r="O583" s="11">
        <v>75</v>
      </c>
      <c r="P583" s="11">
        <v>12</v>
      </c>
      <c r="Q583" s="11">
        <v>12</v>
      </c>
      <c r="R583" s="5">
        <f t="shared" si="36"/>
        <v>0.87878787878787878</v>
      </c>
      <c r="S583" s="13" t="str">
        <f t="shared" si="37"/>
        <v>&gt;50</v>
      </c>
      <c r="T583" s="14">
        <f t="shared" si="38"/>
        <v>1</v>
      </c>
      <c r="U583" s="14">
        <f t="shared" si="39"/>
        <v>0.5</v>
      </c>
    </row>
    <row r="584" spans="1:21" x14ac:dyDescent="0.25">
      <c r="A584" s="1">
        <v>62230258</v>
      </c>
      <c r="B584" s="1">
        <v>189136</v>
      </c>
      <c r="C584" s="1" t="s">
        <v>1131</v>
      </c>
      <c r="D584" s="1" t="s">
        <v>1132</v>
      </c>
      <c r="E584" s="1" t="s">
        <v>1133</v>
      </c>
      <c r="F584" s="1" t="s">
        <v>76</v>
      </c>
      <c r="G584" s="1" t="s">
        <v>23</v>
      </c>
      <c r="H584" s="1" t="s">
        <v>19</v>
      </c>
      <c r="I584" s="1" t="s">
        <v>360</v>
      </c>
      <c r="J584" s="1" t="s">
        <v>361</v>
      </c>
      <c r="K584" s="1" t="str">
        <f>VLOOKUP(J584,'IU Major Match'!$D$2:$E$65,2,FALSE)</f>
        <v xml:space="preserve">Major exists in IU </v>
      </c>
      <c r="L584" s="1">
        <v>70151435</v>
      </c>
      <c r="M584" s="1" t="s">
        <v>153</v>
      </c>
      <c r="N584" s="11">
        <v>108</v>
      </c>
      <c r="O584" s="11">
        <v>60</v>
      </c>
      <c r="P584" s="11">
        <v>15</v>
      </c>
      <c r="Q584" s="11">
        <v>33</v>
      </c>
      <c r="R584" s="5">
        <f t="shared" si="36"/>
        <v>0.69444444444444442</v>
      </c>
      <c r="S584" s="13" t="str">
        <f t="shared" si="37"/>
        <v>&gt;50</v>
      </c>
      <c r="T584" s="14">
        <f t="shared" si="38"/>
        <v>3</v>
      </c>
      <c r="U584" s="14">
        <f t="shared" si="39"/>
        <v>1.5</v>
      </c>
    </row>
    <row r="585" spans="1:21" x14ac:dyDescent="0.25">
      <c r="A585" s="1">
        <v>62130105</v>
      </c>
      <c r="B585" s="1">
        <v>168603</v>
      </c>
      <c r="C585" s="1" t="s">
        <v>1134</v>
      </c>
      <c r="D585" s="1" t="s">
        <v>32</v>
      </c>
      <c r="E585" s="1" t="s">
        <v>1135</v>
      </c>
      <c r="F585" s="1" t="s">
        <v>76</v>
      </c>
      <c r="G585" s="1" t="s">
        <v>23</v>
      </c>
      <c r="H585" s="1" t="s">
        <v>19</v>
      </c>
      <c r="I585" s="1" t="s">
        <v>103</v>
      </c>
      <c r="J585" s="1" t="s">
        <v>104</v>
      </c>
      <c r="K585" s="1" t="str">
        <f>VLOOKUP(J585,'IU Major Match'!$D$2:$E$65,2,FALSE)</f>
        <v xml:space="preserve">Major exists in IU </v>
      </c>
      <c r="L585" s="1">
        <v>96181737194</v>
      </c>
      <c r="M585" s="1" t="s">
        <v>79</v>
      </c>
      <c r="N585" s="11">
        <v>100</v>
      </c>
      <c r="O585" s="11">
        <v>70</v>
      </c>
      <c r="P585" s="11">
        <v>6</v>
      </c>
      <c r="Q585" s="11">
        <v>24</v>
      </c>
      <c r="R585" s="5">
        <f t="shared" si="36"/>
        <v>0.76</v>
      </c>
      <c r="S585" s="13" t="str">
        <f t="shared" si="37"/>
        <v>&gt;50</v>
      </c>
      <c r="T585" s="14">
        <f t="shared" si="38"/>
        <v>2</v>
      </c>
      <c r="U585" s="14">
        <f t="shared" si="39"/>
        <v>1</v>
      </c>
    </row>
    <row r="586" spans="1:21" x14ac:dyDescent="0.25">
      <c r="A586" s="1">
        <v>62230146</v>
      </c>
      <c r="B586" s="1">
        <v>191118</v>
      </c>
      <c r="C586" s="1" t="s">
        <v>1134</v>
      </c>
      <c r="D586" s="1" t="s">
        <v>1136</v>
      </c>
      <c r="E586" s="1" t="s">
        <v>1137</v>
      </c>
      <c r="F586" s="1" t="s">
        <v>76</v>
      </c>
      <c r="G586" s="1" t="s">
        <v>18</v>
      </c>
      <c r="H586" s="1" t="s">
        <v>19</v>
      </c>
      <c r="I586" s="1" t="s">
        <v>82</v>
      </c>
      <c r="J586" s="1" t="s">
        <v>83</v>
      </c>
      <c r="K586" s="1" t="str">
        <f>VLOOKUP(J586,'IU Major Match'!$D$2:$E$65,2,FALSE)</f>
        <v>Can be Transferred to Bachelor of Engineering</v>
      </c>
      <c r="L586" s="1">
        <v>96181764763</v>
      </c>
      <c r="M586" s="1" t="s">
        <v>153</v>
      </c>
      <c r="N586" s="11">
        <v>108</v>
      </c>
      <c r="O586" s="11">
        <v>91</v>
      </c>
      <c r="P586" s="11">
        <v>17</v>
      </c>
      <c r="Q586" s="11">
        <v>0</v>
      </c>
      <c r="R586" s="5">
        <f t="shared" si="36"/>
        <v>1</v>
      </c>
      <c r="S586" s="13" t="str">
        <f t="shared" si="37"/>
        <v>&gt;50</v>
      </c>
      <c r="T586" s="14">
        <f t="shared" si="38"/>
        <v>0</v>
      </c>
      <c r="U586" s="14">
        <f t="shared" si="39"/>
        <v>0</v>
      </c>
    </row>
    <row r="587" spans="1:21" x14ac:dyDescent="0.25">
      <c r="A587" s="1">
        <v>62530279</v>
      </c>
      <c r="B587" s="1">
        <v>226819</v>
      </c>
      <c r="C587" s="1" t="s">
        <v>1134</v>
      </c>
      <c r="D587" s="1" t="s">
        <v>364</v>
      </c>
      <c r="E587" s="1" t="s">
        <v>1138</v>
      </c>
      <c r="F587" s="1" t="s">
        <v>76</v>
      </c>
      <c r="G587" s="1" t="s">
        <v>23</v>
      </c>
      <c r="H587" s="1" t="s">
        <v>19</v>
      </c>
      <c r="I587" s="1" t="s">
        <v>397</v>
      </c>
      <c r="J587" s="1" t="s">
        <v>398</v>
      </c>
      <c r="K587" s="1" t="str">
        <f>VLOOKUP(J587,'IU Major Match'!$D$2:$E$65,2,FALSE)</f>
        <v xml:space="preserve">Major exists in IU </v>
      </c>
      <c r="L587" s="1">
        <v>96181297830</v>
      </c>
      <c r="M587" s="1" t="s">
        <v>99</v>
      </c>
      <c r="N587" s="11">
        <v>99</v>
      </c>
      <c r="O587" s="11">
        <v>12</v>
      </c>
      <c r="P587" s="11">
        <v>13</v>
      </c>
      <c r="Q587" s="11">
        <v>78</v>
      </c>
      <c r="R587" s="5">
        <f t="shared" si="36"/>
        <v>0.25252525252525254</v>
      </c>
      <c r="S587" s="13" t="str">
        <f t="shared" si="37"/>
        <v>=&lt;50</v>
      </c>
      <c r="T587" s="14">
        <f t="shared" si="38"/>
        <v>6</v>
      </c>
      <c r="U587" s="14">
        <f t="shared" si="39"/>
        <v>3</v>
      </c>
    </row>
    <row r="588" spans="1:21" x14ac:dyDescent="0.25">
      <c r="A588" s="1">
        <v>62330041</v>
      </c>
      <c r="B588" s="1">
        <v>198770</v>
      </c>
      <c r="C588" s="1" t="s">
        <v>1134</v>
      </c>
      <c r="D588" s="1" t="s">
        <v>355</v>
      </c>
      <c r="E588" s="1" t="s">
        <v>399</v>
      </c>
      <c r="F588" s="1" t="s">
        <v>76</v>
      </c>
      <c r="G588" s="1" t="s">
        <v>18</v>
      </c>
      <c r="H588" s="1" t="s">
        <v>19</v>
      </c>
      <c r="I588" s="1" t="s">
        <v>82</v>
      </c>
      <c r="J588" s="1" t="s">
        <v>83</v>
      </c>
      <c r="K588" s="1" t="str">
        <f>VLOOKUP(J588,'IU Major Match'!$D$2:$E$65,2,FALSE)</f>
        <v>Can be Transferred to Bachelor of Engineering</v>
      </c>
      <c r="L588" s="1">
        <v>76134436</v>
      </c>
      <c r="M588" s="1" t="s">
        <v>90</v>
      </c>
      <c r="N588" s="11">
        <v>108</v>
      </c>
      <c r="O588" s="11">
        <v>62</v>
      </c>
      <c r="P588" s="11">
        <v>15</v>
      </c>
      <c r="Q588" s="11">
        <v>31</v>
      </c>
      <c r="R588" s="5">
        <f t="shared" si="36"/>
        <v>0.71296296296296291</v>
      </c>
      <c r="S588" s="13" t="str">
        <f t="shared" si="37"/>
        <v>&gt;50</v>
      </c>
      <c r="T588" s="14">
        <f t="shared" si="38"/>
        <v>3</v>
      </c>
      <c r="U588" s="14">
        <f t="shared" si="39"/>
        <v>1.5</v>
      </c>
    </row>
    <row r="589" spans="1:21" x14ac:dyDescent="0.25">
      <c r="A589" s="1">
        <v>62330196</v>
      </c>
      <c r="B589" s="1">
        <v>204759</v>
      </c>
      <c r="C589" s="1" t="s">
        <v>1139</v>
      </c>
      <c r="D589" s="1" t="s">
        <v>129</v>
      </c>
      <c r="E589" s="1" t="s">
        <v>399</v>
      </c>
      <c r="F589" s="1" t="s">
        <v>76</v>
      </c>
      <c r="G589" s="1" t="s">
        <v>93</v>
      </c>
      <c r="H589" s="1" t="s">
        <v>19</v>
      </c>
      <c r="I589" s="1" t="s">
        <v>107</v>
      </c>
      <c r="J589" s="1" t="s">
        <v>108</v>
      </c>
      <c r="K589" s="1" t="str">
        <f>VLOOKUP(J589,'IU Major Match'!$D$2:$E$65,2,FALSE)</f>
        <v xml:space="preserve">Major exists in IU </v>
      </c>
      <c r="L589" s="1">
        <v>96176188665</v>
      </c>
      <c r="M589" s="1" t="s">
        <v>90</v>
      </c>
      <c r="N589" s="11">
        <v>99</v>
      </c>
      <c r="O589" s="11">
        <v>36</v>
      </c>
      <c r="P589" s="11">
        <v>12</v>
      </c>
      <c r="Q589" s="11">
        <v>51</v>
      </c>
      <c r="R589" s="5">
        <f t="shared" si="36"/>
        <v>0.48484848484848486</v>
      </c>
      <c r="S589" s="13" t="str">
        <f t="shared" si="37"/>
        <v>=&lt;50</v>
      </c>
      <c r="T589" s="14">
        <f t="shared" si="38"/>
        <v>4</v>
      </c>
      <c r="U589" s="14">
        <f t="shared" si="39"/>
        <v>2</v>
      </c>
    </row>
    <row r="590" spans="1:21" x14ac:dyDescent="0.25">
      <c r="A590" s="1">
        <v>62430160</v>
      </c>
      <c r="B590" s="1">
        <v>212239</v>
      </c>
      <c r="C590" s="1" t="s">
        <v>1140</v>
      </c>
      <c r="D590" s="1" t="s">
        <v>25</v>
      </c>
      <c r="E590" s="1" t="s">
        <v>384</v>
      </c>
      <c r="F590" s="1" t="s">
        <v>76</v>
      </c>
      <c r="G590" s="1" t="s">
        <v>23</v>
      </c>
      <c r="H590" s="1" t="s">
        <v>19</v>
      </c>
      <c r="I590" s="1" t="s">
        <v>116</v>
      </c>
      <c r="J590" s="1" t="s">
        <v>117</v>
      </c>
      <c r="K590" s="1" t="str">
        <f>VLOOKUP(J590,'IU Major Match'!$D$2:$E$65,2,FALSE)</f>
        <v>Major Dont exists in IU</v>
      </c>
      <c r="L590" s="1">
        <v>96170867563</v>
      </c>
      <c r="M590" s="1" t="s">
        <v>113</v>
      </c>
      <c r="N590" s="11">
        <v>99</v>
      </c>
      <c r="O590" s="11">
        <v>39</v>
      </c>
      <c r="P590" s="11">
        <v>13</v>
      </c>
      <c r="Q590" s="11">
        <v>47</v>
      </c>
      <c r="R590" s="5">
        <f t="shared" si="36"/>
        <v>0.5252525252525253</v>
      </c>
      <c r="S590" s="13" t="str">
        <f t="shared" si="37"/>
        <v>&gt;50</v>
      </c>
      <c r="T590" s="14">
        <f t="shared" si="38"/>
        <v>4</v>
      </c>
      <c r="U590" s="14">
        <f t="shared" si="39"/>
        <v>2</v>
      </c>
    </row>
    <row r="591" spans="1:21" x14ac:dyDescent="0.25">
      <c r="A591" s="1">
        <v>62130373</v>
      </c>
      <c r="B591" s="1">
        <v>176069</v>
      </c>
      <c r="C591" s="1" t="s">
        <v>256</v>
      </c>
      <c r="D591" s="1" t="s">
        <v>140</v>
      </c>
      <c r="E591" s="1" t="s">
        <v>1141</v>
      </c>
      <c r="F591" s="1" t="s">
        <v>76</v>
      </c>
      <c r="G591" s="1" t="s">
        <v>23</v>
      </c>
      <c r="H591" s="1" t="s">
        <v>19</v>
      </c>
      <c r="I591" s="1" t="s">
        <v>1142</v>
      </c>
      <c r="J591" s="1" t="s">
        <v>1143</v>
      </c>
      <c r="K591" s="1" t="str">
        <f>VLOOKUP(J591,'IU Major Match'!$D$2:$E$65,2,FALSE)</f>
        <v xml:space="preserve">Major exists in IU </v>
      </c>
      <c r="L591" s="1">
        <v>71068286</v>
      </c>
      <c r="M591" s="1" t="s">
        <v>79</v>
      </c>
      <c r="N591" s="11">
        <v>100</v>
      </c>
      <c r="O591" s="11">
        <v>91</v>
      </c>
      <c r="P591" s="11">
        <v>3</v>
      </c>
      <c r="Q591" s="11">
        <v>6</v>
      </c>
      <c r="R591" s="5">
        <f t="shared" si="36"/>
        <v>0.94</v>
      </c>
      <c r="S591" s="13" t="str">
        <f t="shared" si="37"/>
        <v>&gt;50</v>
      </c>
      <c r="T591" s="14">
        <f t="shared" si="38"/>
        <v>1</v>
      </c>
      <c r="U591" s="14">
        <f t="shared" si="39"/>
        <v>0.5</v>
      </c>
    </row>
    <row r="592" spans="1:21" x14ac:dyDescent="0.25">
      <c r="A592" s="1">
        <v>62310008</v>
      </c>
      <c r="B592" s="1">
        <v>196950</v>
      </c>
      <c r="C592" s="1" t="s">
        <v>367</v>
      </c>
      <c r="D592" s="1" t="s">
        <v>16</v>
      </c>
      <c r="E592" s="1" t="s">
        <v>1144</v>
      </c>
      <c r="F592" s="1" t="s">
        <v>76</v>
      </c>
      <c r="G592" s="1" t="s">
        <v>18</v>
      </c>
      <c r="H592" s="1" t="s">
        <v>19</v>
      </c>
      <c r="I592" s="1" t="s">
        <v>82</v>
      </c>
      <c r="J592" s="1" t="s">
        <v>83</v>
      </c>
      <c r="K592" s="1" t="str">
        <f>VLOOKUP(J592,'IU Major Match'!$D$2:$E$65,2,FALSE)</f>
        <v>Can be Transferred to Bachelor of Engineering</v>
      </c>
      <c r="L592" s="1">
        <v>3361442</v>
      </c>
      <c r="M592" s="1" t="s">
        <v>178</v>
      </c>
      <c r="N592" s="11">
        <v>108</v>
      </c>
      <c r="O592" s="11">
        <v>10</v>
      </c>
      <c r="P592" s="11">
        <v>9</v>
      </c>
      <c r="Q592" s="11">
        <v>89</v>
      </c>
      <c r="R592" s="5">
        <f t="shared" si="36"/>
        <v>0.17592592592592593</v>
      </c>
      <c r="S592" s="13" t="str">
        <f t="shared" si="37"/>
        <v>=&lt;50</v>
      </c>
      <c r="T592" s="14">
        <f t="shared" si="38"/>
        <v>6</v>
      </c>
      <c r="U592" s="14">
        <f t="shared" si="39"/>
        <v>3</v>
      </c>
    </row>
    <row r="593" spans="1:21" x14ac:dyDescent="0.25">
      <c r="A593" s="1">
        <v>62330032</v>
      </c>
      <c r="B593" s="1">
        <v>198777</v>
      </c>
      <c r="C593" s="1" t="s">
        <v>367</v>
      </c>
      <c r="D593" s="1" t="s">
        <v>261</v>
      </c>
      <c r="E593" s="1" t="s">
        <v>1145</v>
      </c>
      <c r="F593" s="1" t="s">
        <v>76</v>
      </c>
      <c r="G593" s="1" t="s">
        <v>23</v>
      </c>
      <c r="H593" s="1" t="s">
        <v>19</v>
      </c>
      <c r="I593" s="1" t="s">
        <v>103</v>
      </c>
      <c r="J593" s="1" t="s">
        <v>104</v>
      </c>
      <c r="K593" s="1" t="str">
        <f>VLOOKUP(J593,'IU Major Match'!$D$2:$E$65,2,FALSE)</f>
        <v xml:space="preserve">Major exists in IU </v>
      </c>
      <c r="L593" s="1">
        <v>96176073130</v>
      </c>
      <c r="M593" s="1" t="s">
        <v>90</v>
      </c>
      <c r="N593" s="11">
        <v>100</v>
      </c>
      <c r="O593" s="11">
        <v>88</v>
      </c>
      <c r="P593" s="11">
        <v>12</v>
      </c>
      <c r="Q593" s="11">
        <v>0</v>
      </c>
      <c r="R593" s="5">
        <f t="shared" si="36"/>
        <v>1</v>
      </c>
      <c r="S593" s="13" t="str">
        <f t="shared" si="37"/>
        <v>&gt;50</v>
      </c>
      <c r="T593" s="14">
        <f t="shared" si="38"/>
        <v>0</v>
      </c>
      <c r="U593" s="14">
        <f t="shared" si="39"/>
        <v>0</v>
      </c>
    </row>
    <row r="594" spans="1:21" x14ac:dyDescent="0.25">
      <c r="A594" s="1">
        <v>62330134</v>
      </c>
      <c r="B594" s="1">
        <v>200547</v>
      </c>
      <c r="C594" s="1" t="s">
        <v>367</v>
      </c>
      <c r="D594" s="1" t="s">
        <v>706</v>
      </c>
      <c r="E594" s="1" t="s">
        <v>1146</v>
      </c>
      <c r="F594" s="1" t="s">
        <v>76</v>
      </c>
      <c r="G594" s="1" t="s">
        <v>93</v>
      </c>
      <c r="H594" s="1" t="s">
        <v>19</v>
      </c>
      <c r="I594" s="1" t="s">
        <v>111</v>
      </c>
      <c r="J594" s="1" t="s">
        <v>112</v>
      </c>
      <c r="K594" s="1" t="str">
        <f>VLOOKUP(J594,'IU Major Match'!$D$2:$E$65,2,FALSE)</f>
        <v xml:space="preserve">Major exists in IU </v>
      </c>
      <c r="L594" s="1">
        <v>96170025509</v>
      </c>
      <c r="M594" s="1" t="s">
        <v>90</v>
      </c>
      <c r="N594" s="11">
        <v>99</v>
      </c>
      <c r="O594" s="11">
        <v>42</v>
      </c>
      <c r="P594" s="11">
        <v>15</v>
      </c>
      <c r="Q594" s="11">
        <v>42</v>
      </c>
      <c r="R594" s="5">
        <f t="shared" si="36"/>
        <v>0.5757575757575758</v>
      </c>
      <c r="S594" s="13" t="str">
        <f t="shared" si="37"/>
        <v>&gt;50</v>
      </c>
      <c r="T594" s="14">
        <f t="shared" si="38"/>
        <v>3</v>
      </c>
      <c r="U594" s="14">
        <f t="shared" si="39"/>
        <v>1.5</v>
      </c>
    </row>
    <row r="595" spans="1:21" x14ac:dyDescent="0.25">
      <c r="A595" s="1">
        <v>62410047</v>
      </c>
      <c r="B595" s="1">
        <v>208218</v>
      </c>
      <c r="C595" s="1" t="s">
        <v>367</v>
      </c>
      <c r="D595" s="1" t="s">
        <v>1147</v>
      </c>
      <c r="E595" s="1" t="s">
        <v>42</v>
      </c>
      <c r="F595" s="1" t="s">
        <v>76</v>
      </c>
      <c r="G595" s="1" t="s">
        <v>93</v>
      </c>
      <c r="H595" s="1" t="s">
        <v>19</v>
      </c>
      <c r="I595" s="1" t="s">
        <v>107</v>
      </c>
      <c r="J595" s="1" t="s">
        <v>108</v>
      </c>
      <c r="K595" s="1" t="str">
        <f>VLOOKUP(J595,'IU Major Match'!$D$2:$E$65,2,FALSE)</f>
        <v xml:space="preserve">Major exists in IU </v>
      </c>
      <c r="L595" s="1">
        <v>81257598</v>
      </c>
      <c r="M595" s="1" t="s">
        <v>362</v>
      </c>
      <c r="N595" s="11">
        <v>99</v>
      </c>
      <c r="O595" s="11">
        <v>51</v>
      </c>
      <c r="P595" s="11">
        <v>9</v>
      </c>
      <c r="Q595" s="11">
        <v>39</v>
      </c>
      <c r="R595" s="5">
        <f t="shared" si="36"/>
        <v>0.60606060606060608</v>
      </c>
      <c r="S595" s="13" t="str">
        <f t="shared" si="37"/>
        <v>&gt;50</v>
      </c>
      <c r="T595" s="14">
        <f t="shared" si="38"/>
        <v>3</v>
      </c>
      <c r="U595" s="14">
        <f t="shared" si="39"/>
        <v>1.5</v>
      </c>
    </row>
    <row r="596" spans="1:21" x14ac:dyDescent="0.25">
      <c r="A596" s="1">
        <v>92430351</v>
      </c>
      <c r="B596" s="1">
        <v>217424</v>
      </c>
      <c r="C596" s="1" t="s">
        <v>367</v>
      </c>
      <c r="D596" s="1" t="s">
        <v>49</v>
      </c>
      <c r="E596" s="1" t="s">
        <v>1148</v>
      </c>
      <c r="F596" s="1" t="s">
        <v>76</v>
      </c>
      <c r="G596" s="1" t="s">
        <v>18</v>
      </c>
      <c r="H596" s="1" t="s">
        <v>19</v>
      </c>
      <c r="I596" s="1" t="s">
        <v>82</v>
      </c>
      <c r="J596" s="1" t="s">
        <v>83</v>
      </c>
      <c r="K596" s="1" t="str">
        <f>VLOOKUP(J596,'IU Major Match'!$D$2:$E$65,2,FALSE)</f>
        <v>Can be Transferred to Bachelor of Engineering</v>
      </c>
      <c r="L596" s="1">
        <v>81509541</v>
      </c>
      <c r="M596" s="1" t="s">
        <v>113</v>
      </c>
      <c r="N596" s="11">
        <v>108</v>
      </c>
      <c r="O596" s="11">
        <v>9</v>
      </c>
      <c r="P596" s="11">
        <v>14</v>
      </c>
      <c r="Q596" s="11">
        <v>89</v>
      </c>
      <c r="R596" s="5">
        <f t="shared" si="36"/>
        <v>0.21296296296296297</v>
      </c>
      <c r="S596" s="13" t="str">
        <f t="shared" si="37"/>
        <v>=&lt;50</v>
      </c>
      <c r="T596" s="14">
        <f t="shared" si="38"/>
        <v>6</v>
      </c>
      <c r="U596" s="14">
        <f t="shared" si="39"/>
        <v>3</v>
      </c>
    </row>
    <row r="597" spans="1:21" x14ac:dyDescent="0.25">
      <c r="A597" s="1">
        <v>62330304</v>
      </c>
      <c r="B597" s="1">
        <v>205913</v>
      </c>
      <c r="C597" s="1" t="s">
        <v>367</v>
      </c>
      <c r="D597" s="1" t="s">
        <v>441</v>
      </c>
      <c r="E597" s="1" t="s">
        <v>1149</v>
      </c>
      <c r="F597" s="1" t="s">
        <v>76</v>
      </c>
      <c r="G597" s="1" t="s">
        <v>23</v>
      </c>
      <c r="H597" s="1" t="s">
        <v>19</v>
      </c>
      <c r="I597" s="1" t="s">
        <v>890</v>
      </c>
      <c r="J597" s="1" t="s">
        <v>891</v>
      </c>
      <c r="K597" s="1" t="str">
        <f>VLOOKUP(J597,'IU Major Match'!$D$2:$E$65,2,FALSE)</f>
        <v xml:space="preserve">Major exists in IU </v>
      </c>
      <c r="L597" s="1">
        <v>96171254335</v>
      </c>
      <c r="M597" s="1" t="s">
        <v>90</v>
      </c>
      <c r="N597" s="11">
        <v>108</v>
      </c>
      <c r="O597" s="11">
        <v>15</v>
      </c>
      <c r="P597" s="11">
        <v>12</v>
      </c>
      <c r="Q597" s="11">
        <v>81</v>
      </c>
      <c r="R597" s="5">
        <f t="shared" si="36"/>
        <v>0.25</v>
      </c>
      <c r="S597" s="13" t="str">
        <f t="shared" si="37"/>
        <v>=&lt;50</v>
      </c>
      <c r="T597" s="14">
        <f t="shared" si="38"/>
        <v>6</v>
      </c>
      <c r="U597" s="14">
        <f t="shared" si="39"/>
        <v>3</v>
      </c>
    </row>
    <row r="598" spans="1:21" x14ac:dyDescent="0.25">
      <c r="A598" s="1">
        <v>62430289</v>
      </c>
      <c r="B598" s="1">
        <v>215588</v>
      </c>
      <c r="C598" s="1" t="s">
        <v>1150</v>
      </c>
      <c r="D598" s="1" t="s">
        <v>848</v>
      </c>
      <c r="E598" s="1" t="s">
        <v>1151</v>
      </c>
      <c r="F598" s="1" t="s">
        <v>76</v>
      </c>
      <c r="G598" s="1" t="s">
        <v>18</v>
      </c>
      <c r="H598" s="1" t="s">
        <v>19</v>
      </c>
      <c r="I598" s="1" t="s">
        <v>146</v>
      </c>
      <c r="J598" s="1" t="s">
        <v>147</v>
      </c>
      <c r="K598" s="1" t="str">
        <f>VLOOKUP(J598,'IU Major Match'!$D$2:$E$65,2,FALSE)</f>
        <v>Can be Transferred to Bachelor of Engineering</v>
      </c>
      <c r="L598" s="1">
        <v>76374961</v>
      </c>
      <c r="M598" s="1" t="s">
        <v>113</v>
      </c>
      <c r="N598" s="11">
        <v>108</v>
      </c>
      <c r="O598" s="11">
        <v>9</v>
      </c>
      <c r="P598" s="11">
        <v>10</v>
      </c>
      <c r="Q598" s="11">
        <v>89</v>
      </c>
      <c r="R598" s="5">
        <f t="shared" si="36"/>
        <v>0.17592592592592593</v>
      </c>
      <c r="S598" s="13" t="str">
        <f t="shared" si="37"/>
        <v>=&lt;50</v>
      </c>
      <c r="T598" s="14">
        <f t="shared" si="38"/>
        <v>6</v>
      </c>
      <c r="U598" s="14">
        <f t="shared" si="39"/>
        <v>3</v>
      </c>
    </row>
    <row r="599" spans="1:21" x14ac:dyDescent="0.25">
      <c r="A599" s="1">
        <v>62510039</v>
      </c>
      <c r="B599" s="1">
        <v>217938</v>
      </c>
      <c r="C599" s="1" t="s">
        <v>877</v>
      </c>
      <c r="D599" s="1" t="s">
        <v>416</v>
      </c>
      <c r="E599" s="1" t="s">
        <v>1152</v>
      </c>
      <c r="F599" s="1" t="s">
        <v>76</v>
      </c>
      <c r="G599" s="1" t="s">
        <v>23</v>
      </c>
      <c r="H599" s="1" t="s">
        <v>19</v>
      </c>
      <c r="I599" s="1" t="s">
        <v>103</v>
      </c>
      <c r="J599" s="1" t="s">
        <v>104</v>
      </c>
      <c r="K599" s="1" t="str">
        <f>VLOOKUP(J599,'IU Major Match'!$D$2:$E$65,2,FALSE)</f>
        <v xml:space="preserve">Major exists in IU </v>
      </c>
      <c r="L599" s="1">
        <v>96176893735</v>
      </c>
      <c r="M599" s="1" t="s">
        <v>242</v>
      </c>
      <c r="N599" s="11">
        <v>100</v>
      </c>
      <c r="O599" s="11">
        <v>28</v>
      </c>
      <c r="P599" s="11">
        <v>16</v>
      </c>
      <c r="Q599" s="11">
        <v>56</v>
      </c>
      <c r="R599" s="5">
        <f t="shared" si="36"/>
        <v>0.44</v>
      </c>
      <c r="S599" s="13" t="str">
        <f t="shared" si="37"/>
        <v>=&lt;50</v>
      </c>
      <c r="T599" s="14">
        <f t="shared" si="38"/>
        <v>4</v>
      </c>
      <c r="U599" s="14">
        <f t="shared" si="39"/>
        <v>2</v>
      </c>
    </row>
    <row r="600" spans="1:21" x14ac:dyDescent="0.25">
      <c r="A600" s="1">
        <v>62430109</v>
      </c>
      <c r="B600" s="1">
        <v>210038</v>
      </c>
      <c r="C600" s="1" t="s">
        <v>211</v>
      </c>
      <c r="D600" s="1" t="s">
        <v>53</v>
      </c>
      <c r="E600" s="1" t="s">
        <v>167</v>
      </c>
      <c r="F600" s="1" t="s">
        <v>76</v>
      </c>
      <c r="G600" s="1" t="s">
        <v>23</v>
      </c>
      <c r="H600" s="1" t="s">
        <v>19</v>
      </c>
      <c r="I600" s="1" t="s">
        <v>159</v>
      </c>
      <c r="J600" s="1" t="s">
        <v>160</v>
      </c>
      <c r="K600" s="1" t="str">
        <f>VLOOKUP(J600,'IU Major Match'!$D$2:$E$65,2,FALSE)</f>
        <v xml:space="preserve">Major exists in IU </v>
      </c>
      <c r="L600" s="1">
        <v>96176686410</v>
      </c>
      <c r="M600" s="1" t="s">
        <v>113</v>
      </c>
      <c r="N600" s="11">
        <v>99</v>
      </c>
      <c r="O600" s="11">
        <v>34</v>
      </c>
      <c r="P600" s="11">
        <v>19</v>
      </c>
      <c r="Q600" s="11">
        <v>46</v>
      </c>
      <c r="R600" s="5">
        <f t="shared" si="36"/>
        <v>0.53535353535353536</v>
      </c>
      <c r="S600" s="13" t="str">
        <f t="shared" si="37"/>
        <v>&gt;50</v>
      </c>
      <c r="T600" s="14">
        <f t="shared" si="38"/>
        <v>4</v>
      </c>
      <c r="U600" s="14">
        <f t="shared" si="39"/>
        <v>2</v>
      </c>
    </row>
    <row r="601" spans="1:21" x14ac:dyDescent="0.25">
      <c r="A601" s="1">
        <v>62330007</v>
      </c>
      <c r="B601" s="1">
        <v>198749</v>
      </c>
      <c r="C601" s="1" t="s">
        <v>1123</v>
      </c>
      <c r="D601" s="1" t="s">
        <v>180</v>
      </c>
      <c r="E601" s="1" t="s">
        <v>1153</v>
      </c>
      <c r="F601" s="1" t="s">
        <v>76</v>
      </c>
      <c r="G601" s="1" t="s">
        <v>585</v>
      </c>
      <c r="H601" s="1" t="s">
        <v>19</v>
      </c>
      <c r="I601" s="1" t="s">
        <v>586</v>
      </c>
      <c r="J601" s="1" t="s">
        <v>587</v>
      </c>
      <c r="K601" s="1" t="str">
        <f>VLOOKUP(J601,'IU Major Match'!$D$2:$E$65,2,FALSE)</f>
        <v xml:space="preserve">Major exists in IU </v>
      </c>
      <c r="L601" s="1">
        <v>96181694926</v>
      </c>
      <c r="M601" s="1" t="s">
        <v>90</v>
      </c>
      <c r="N601" s="11">
        <v>31</v>
      </c>
      <c r="O601" s="11">
        <v>24</v>
      </c>
      <c r="P601" s="11">
        <v>7</v>
      </c>
      <c r="Q601" s="11">
        <v>0</v>
      </c>
      <c r="R601" s="5">
        <f t="shared" si="36"/>
        <v>1</v>
      </c>
      <c r="S601" s="13" t="str">
        <f t="shared" si="37"/>
        <v>&gt;50</v>
      </c>
      <c r="T601" s="14">
        <f t="shared" si="38"/>
        <v>0</v>
      </c>
      <c r="U601" s="14">
        <f t="shared" si="39"/>
        <v>0</v>
      </c>
    </row>
    <row r="602" spans="1:21" x14ac:dyDescent="0.25">
      <c r="A602" s="1">
        <v>61830185</v>
      </c>
      <c r="B602" s="1">
        <v>132330</v>
      </c>
      <c r="C602" s="1" t="s">
        <v>1154</v>
      </c>
      <c r="D602" s="1" t="s">
        <v>131</v>
      </c>
      <c r="E602" s="1" t="s">
        <v>1155</v>
      </c>
      <c r="F602" s="1" t="s">
        <v>76</v>
      </c>
      <c r="G602" s="1" t="s">
        <v>23</v>
      </c>
      <c r="H602" s="1" t="s">
        <v>19</v>
      </c>
      <c r="I602" s="1" t="s">
        <v>360</v>
      </c>
      <c r="J602" s="1" t="s">
        <v>361</v>
      </c>
      <c r="K602" s="1" t="str">
        <f>VLOOKUP(J602,'IU Major Match'!$D$2:$E$65,2,FALSE)</f>
        <v xml:space="preserve">Major exists in IU </v>
      </c>
      <c r="L602" s="1">
        <v>96170356497</v>
      </c>
      <c r="M602" s="1" t="s">
        <v>56</v>
      </c>
      <c r="N602" s="11">
        <v>108</v>
      </c>
      <c r="O602" s="11">
        <v>102</v>
      </c>
      <c r="P602" s="11">
        <v>6</v>
      </c>
      <c r="Q602" s="11">
        <v>0</v>
      </c>
      <c r="R602" s="5">
        <f t="shared" si="36"/>
        <v>1</v>
      </c>
      <c r="S602" s="13" t="str">
        <f t="shared" si="37"/>
        <v>&gt;50</v>
      </c>
      <c r="T602" s="14">
        <f t="shared" si="38"/>
        <v>0</v>
      </c>
      <c r="U602" s="14">
        <f t="shared" si="39"/>
        <v>0</v>
      </c>
    </row>
    <row r="603" spans="1:21" x14ac:dyDescent="0.25">
      <c r="A603" s="1">
        <v>62510021</v>
      </c>
      <c r="B603" s="1">
        <v>217797</v>
      </c>
      <c r="C603" s="1" t="s">
        <v>1156</v>
      </c>
      <c r="D603" s="1" t="s">
        <v>256</v>
      </c>
      <c r="E603" s="1" t="s">
        <v>1157</v>
      </c>
      <c r="F603" s="1" t="s">
        <v>76</v>
      </c>
      <c r="G603" s="1" t="s">
        <v>18</v>
      </c>
      <c r="H603" s="1" t="s">
        <v>19</v>
      </c>
      <c r="I603" s="1" t="s">
        <v>82</v>
      </c>
      <c r="J603" s="1" t="s">
        <v>83</v>
      </c>
      <c r="K603" s="1" t="str">
        <f>VLOOKUP(J603,'IU Major Match'!$D$2:$E$65,2,FALSE)</f>
        <v>Can be Transferred to Bachelor of Engineering</v>
      </c>
      <c r="L603" s="1">
        <v>3226768</v>
      </c>
      <c r="M603" s="1" t="s">
        <v>242</v>
      </c>
      <c r="N603" s="11">
        <v>108</v>
      </c>
      <c r="O603" s="11">
        <v>3</v>
      </c>
      <c r="P603" s="11">
        <v>13</v>
      </c>
      <c r="Q603" s="11">
        <v>92</v>
      </c>
      <c r="R603" s="5">
        <f t="shared" si="36"/>
        <v>0.14814814814814814</v>
      </c>
      <c r="S603" s="13" t="str">
        <f t="shared" si="37"/>
        <v>=&lt;50</v>
      </c>
      <c r="T603" s="14">
        <f t="shared" si="38"/>
        <v>7</v>
      </c>
      <c r="U603" s="14">
        <f t="shared" si="39"/>
        <v>3.5</v>
      </c>
    </row>
    <row r="604" spans="1:21" x14ac:dyDescent="0.25">
      <c r="A604" s="1">
        <v>62410022</v>
      </c>
      <c r="B604" s="1">
        <v>207962</v>
      </c>
      <c r="C604" s="1" t="s">
        <v>1156</v>
      </c>
      <c r="D604" s="1" t="s">
        <v>418</v>
      </c>
      <c r="E604" s="1" t="s">
        <v>1158</v>
      </c>
      <c r="F604" s="1" t="s">
        <v>76</v>
      </c>
      <c r="G604" s="1" t="s">
        <v>23</v>
      </c>
      <c r="H604" s="1" t="s">
        <v>19</v>
      </c>
      <c r="I604" s="1" t="s">
        <v>237</v>
      </c>
      <c r="J604" s="1" t="s">
        <v>238</v>
      </c>
      <c r="K604" s="1" t="str">
        <f>VLOOKUP(J604,'IU Major Match'!$D$2:$E$65,2,FALSE)</f>
        <v xml:space="preserve">Major exists in IU </v>
      </c>
      <c r="L604" s="1">
        <v>81214349</v>
      </c>
      <c r="M604" s="1" t="s">
        <v>362</v>
      </c>
      <c r="N604" s="11">
        <v>108</v>
      </c>
      <c r="O604" s="11">
        <v>45</v>
      </c>
      <c r="P604" s="11">
        <v>15</v>
      </c>
      <c r="Q604" s="11">
        <v>48</v>
      </c>
      <c r="R604" s="5">
        <f t="shared" si="36"/>
        <v>0.55555555555555558</v>
      </c>
      <c r="S604" s="13" t="str">
        <f t="shared" si="37"/>
        <v>&gt;50</v>
      </c>
      <c r="T604" s="14">
        <f t="shared" si="38"/>
        <v>4</v>
      </c>
      <c r="U604" s="14">
        <f t="shared" si="39"/>
        <v>2</v>
      </c>
    </row>
    <row r="605" spans="1:21" x14ac:dyDescent="0.25">
      <c r="A605" s="1">
        <v>62530054</v>
      </c>
      <c r="B605" s="1">
        <v>219824</v>
      </c>
      <c r="C605" s="1" t="s">
        <v>1156</v>
      </c>
      <c r="D605" s="1" t="s">
        <v>793</v>
      </c>
      <c r="E605" s="1" t="s">
        <v>1159</v>
      </c>
      <c r="F605" s="1" t="s">
        <v>76</v>
      </c>
      <c r="G605" s="1" t="s">
        <v>18</v>
      </c>
      <c r="H605" s="1" t="s">
        <v>19</v>
      </c>
      <c r="I605" s="1" t="s">
        <v>82</v>
      </c>
      <c r="J605" s="1" t="s">
        <v>83</v>
      </c>
      <c r="K605" s="1" t="str">
        <f>VLOOKUP(J605,'IU Major Match'!$D$2:$E$65,2,FALSE)</f>
        <v>Can be Transferred to Bachelor of Engineering</v>
      </c>
      <c r="L605" s="1">
        <v>76516166</v>
      </c>
      <c r="M605" s="1" t="s">
        <v>99</v>
      </c>
      <c r="N605" s="11">
        <v>108</v>
      </c>
      <c r="O605" s="11">
        <v>6</v>
      </c>
      <c r="P605" s="11">
        <v>12</v>
      </c>
      <c r="Q605" s="11">
        <v>90</v>
      </c>
      <c r="R605" s="5">
        <f t="shared" si="36"/>
        <v>0.16666666666666666</v>
      </c>
      <c r="S605" s="13" t="str">
        <f t="shared" si="37"/>
        <v>=&lt;50</v>
      </c>
      <c r="T605" s="14">
        <f t="shared" si="38"/>
        <v>6</v>
      </c>
      <c r="U605" s="14">
        <f t="shared" si="39"/>
        <v>3</v>
      </c>
    </row>
    <row r="606" spans="1:21" x14ac:dyDescent="0.25">
      <c r="A606" s="1">
        <v>62230241</v>
      </c>
      <c r="B606" s="1">
        <v>188630</v>
      </c>
      <c r="C606" s="1" t="s">
        <v>1160</v>
      </c>
      <c r="D606" s="1" t="s">
        <v>418</v>
      </c>
      <c r="E606" s="1" t="s">
        <v>1161</v>
      </c>
      <c r="F606" s="1" t="s">
        <v>76</v>
      </c>
      <c r="G606" s="1" t="s">
        <v>23</v>
      </c>
      <c r="H606" s="1" t="s">
        <v>19</v>
      </c>
      <c r="I606" s="1" t="s">
        <v>103</v>
      </c>
      <c r="J606" s="1" t="s">
        <v>104</v>
      </c>
      <c r="K606" s="1" t="str">
        <f>VLOOKUP(J606,'IU Major Match'!$D$2:$E$65,2,FALSE)</f>
        <v xml:space="preserve">Major exists in IU </v>
      </c>
      <c r="L606" s="1">
        <v>96181928442</v>
      </c>
      <c r="M606" s="1" t="s">
        <v>153</v>
      </c>
      <c r="N606" s="11">
        <v>100</v>
      </c>
      <c r="O606" s="11">
        <v>73</v>
      </c>
      <c r="P606" s="11">
        <v>12</v>
      </c>
      <c r="Q606" s="11">
        <v>15</v>
      </c>
      <c r="R606" s="5">
        <f t="shared" si="36"/>
        <v>0.85</v>
      </c>
      <c r="S606" s="13" t="str">
        <f t="shared" si="37"/>
        <v>&gt;50</v>
      </c>
      <c r="T606" s="14">
        <f t="shared" si="38"/>
        <v>1</v>
      </c>
      <c r="U606" s="14">
        <f t="shared" si="39"/>
        <v>0.5</v>
      </c>
    </row>
    <row r="607" spans="1:21" x14ac:dyDescent="0.25">
      <c r="A607" s="1">
        <v>62430260</v>
      </c>
      <c r="B607" s="1">
        <v>216053</v>
      </c>
      <c r="C607" s="1" t="s">
        <v>41</v>
      </c>
      <c r="D607" s="1" t="s">
        <v>447</v>
      </c>
      <c r="E607" s="1" t="s">
        <v>1162</v>
      </c>
      <c r="F607" s="1" t="s">
        <v>76</v>
      </c>
      <c r="G607" s="1" t="s">
        <v>93</v>
      </c>
      <c r="H607" s="1" t="s">
        <v>19</v>
      </c>
      <c r="I607" s="1" t="s">
        <v>107</v>
      </c>
      <c r="J607" s="1" t="s">
        <v>108</v>
      </c>
      <c r="K607" s="1" t="str">
        <f>VLOOKUP(J607,'IU Major Match'!$D$2:$E$65,2,FALSE)</f>
        <v xml:space="preserve">Major exists in IU </v>
      </c>
      <c r="L607" s="1">
        <v>96176631313</v>
      </c>
      <c r="M607" s="1" t="s">
        <v>113</v>
      </c>
      <c r="N607" s="11">
        <v>99</v>
      </c>
      <c r="O607" s="11">
        <v>18</v>
      </c>
      <c r="P607" s="11">
        <v>15</v>
      </c>
      <c r="Q607" s="11">
        <v>66</v>
      </c>
      <c r="R607" s="5">
        <f t="shared" si="36"/>
        <v>0.33333333333333331</v>
      </c>
      <c r="S607" s="13" t="str">
        <f t="shared" si="37"/>
        <v>=&lt;50</v>
      </c>
      <c r="T607" s="14">
        <f t="shared" si="38"/>
        <v>5</v>
      </c>
      <c r="U607" s="14">
        <f t="shared" si="39"/>
        <v>2.5</v>
      </c>
    </row>
    <row r="608" spans="1:21" x14ac:dyDescent="0.25">
      <c r="A608" s="1">
        <v>62530097</v>
      </c>
      <c r="B608" s="1">
        <v>220490</v>
      </c>
      <c r="C608" s="1" t="s">
        <v>60</v>
      </c>
      <c r="D608" s="1" t="s">
        <v>24</v>
      </c>
      <c r="E608" s="1" t="s">
        <v>167</v>
      </c>
      <c r="F608" s="1" t="s">
        <v>76</v>
      </c>
      <c r="G608" s="1" t="s">
        <v>23</v>
      </c>
      <c r="H608" s="1" t="s">
        <v>19</v>
      </c>
      <c r="I608" s="1" t="s">
        <v>397</v>
      </c>
      <c r="J608" s="1" t="s">
        <v>398</v>
      </c>
      <c r="K608" s="1" t="str">
        <f>VLOOKUP(J608,'IU Major Match'!$D$2:$E$65,2,FALSE)</f>
        <v xml:space="preserve">Major exists in IU </v>
      </c>
      <c r="L608" s="1">
        <v>96171501152</v>
      </c>
      <c r="M608" s="1" t="s">
        <v>99</v>
      </c>
      <c r="N608" s="11">
        <v>99</v>
      </c>
      <c r="O608" s="11">
        <v>6</v>
      </c>
      <c r="P608" s="11">
        <v>13</v>
      </c>
      <c r="Q608" s="11">
        <v>89</v>
      </c>
      <c r="R608" s="5">
        <f t="shared" si="36"/>
        <v>0.19191919191919191</v>
      </c>
      <c r="S608" s="13" t="str">
        <f t="shared" si="37"/>
        <v>=&lt;50</v>
      </c>
      <c r="T608" s="14">
        <f t="shared" si="38"/>
        <v>6</v>
      </c>
      <c r="U608" s="14">
        <f t="shared" si="39"/>
        <v>3</v>
      </c>
    </row>
    <row r="609" spans="1:21" x14ac:dyDescent="0.25">
      <c r="A609" s="1">
        <v>62530137</v>
      </c>
      <c r="B609" s="1">
        <v>222238</v>
      </c>
      <c r="C609" s="1" t="s">
        <v>1163</v>
      </c>
      <c r="D609" s="1" t="s">
        <v>21</v>
      </c>
      <c r="E609" s="1" t="s">
        <v>28</v>
      </c>
      <c r="F609" s="1" t="s">
        <v>76</v>
      </c>
      <c r="G609" s="1" t="s">
        <v>68</v>
      </c>
      <c r="H609" s="1" t="s">
        <v>19</v>
      </c>
      <c r="I609" s="1" t="s">
        <v>1164</v>
      </c>
      <c r="J609" s="1" t="s">
        <v>1165</v>
      </c>
      <c r="K609" s="1" t="str">
        <f>VLOOKUP(J609,'IU Major Match'!$D$2:$E$65,2,FALSE)</f>
        <v xml:space="preserve">Major exists in IU </v>
      </c>
      <c r="L609" s="1">
        <v>96178867974</v>
      </c>
      <c r="M609" s="1" t="s">
        <v>99</v>
      </c>
      <c r="N609" s="11">
        <v>108</v>
      </c>
      <c r="O609" s="11">
        <v>6</v>
      </c>
      <c r="P609" s="11">
        <v>15</v>
      </c>
      <c r="Q609" s="11">
        <v>87</v>
      </c>
      <c r="R609" s="5">
        <f t="shared" si="36"/>
        <v>0.19444444444444445</v>
      </c>
      <c r="S609" s="13" t="str">
        <f t="shared" si="37"/>
        <v>=&lt;50</v>
      </c>
      <c r="T609" s="14">
        <f t="shared" si="38"/>
        <v>6</v>
      </c>
      <c r="U609" s="14">
        <f t="shared" si="39"/>
        <v>3</v>
      </c>
    </row>
    <row r="610" spans="1:21" x14ac:dyDescent="0.25">
      <c r="A610" s="1">
        <v>62530237</v>
      </c>
      <c r="B610" s="1">
        <v>224974</v>
      </c>
      <c r="C610" s="1" t="s">
        <v>1166</v>
      </c>
      <c r="D610" s="1" t="s">
        <v>1167</v>
      </c>
      <c r="E610" s="1" t="s">
        <v>1168</v>
      </c>
      <c r="F610" s="1" t="s">
        <v>76</v>
      </c>
      <c r="G610" s="1" t="s">
        <v>93</v>
      </c>
      <c r="H610" s="1" t="s">
        <v>19</v>
      </c>
      <c r="I610" s="1" t="s">
        <v>138</v>
      </c>
      <c r="J610" s="1" t="s">
        <v>139</v>
      </c>
      <c r="K610" s="1" t="str">
        <f>VLOOKUP(J610,'IU Major Match'!$D$2:$E$65,2,FALSE)</f>
        <v xml:space="preserve">Major exists in IU </v>
      </c>
      <c r="L610" s="1">
        <v>96171305271</v>
      </c>
      <c r="M610" s="1" t="s">
        <v>99</v>
      </c>
      <c r="N610" s="11">
        <v>99</v>
      </c>
      <c r="O610" s="11">
        <v>6</v>
      </c>
      <c r="P610" s="11">
        <v>10</v>
      </c>
      <c r="Q610" s="11">
        <v>91</v>
      </c>
      <c r="R610" s="5">
        <f t="shared" si="36"/>
        <v>0.16161616161616163</v>
      </c>
      <c r="S610" s="13" t="str">
        <f t="shared" si="37"/>
        <v>=&lt;50</v>
      </c>
      <c r="T610" s="14">
        <f t="shared" si="38"/>
        <v>7</v>
      </c>
      <c r="U610" s="14">
        <f t="shared" si="39"/>
        <v>3.5</v>
      </c>
    </row>
    <row r="611" spans="1:21" x14ac:dyDescent="0.25">
      <c r="A611" s="1">
        <v>62530267</v>
      </c>
      <c r="B611" s="1">
        <v>226536</v>
      </c>
      <c r="C611" s="1" t="s">
        <v>1169</v>
      </c>
      <c r="D611" s="1" t="s">
        <v>54</v>
      </c>
      <c r="E611" s="1" t="s">
        <v>1170</v>
      </c>
      <c r="F611" s="1" t="s">
        <v>76</v>
      </c>
      <c r="G611" s="1" t="s">
        <v>23</v>
      </c>
      <c r="H611" s="1" t="s">
        <v>19</v>
      </c>
      <c r="I611" s="1" t="s">
        <v>277</v>
      </c>
      <c r="J611" s="1" t="s">
        <v>278</v>
      </c>
      <c r="K611" s="1" t="str">
        <f>VLOOKUP(J611,'IU Major Match'!$D$2:$E$65,2,FALSE)</f>
        <v>Major Dont exists in IU</v>
      </c>
      <c r="L611" s="1">
        <v>96181687627</v>
      </c>
      <c r="M611" s="1" t="s">
        <v>99</v>
      </c>
      <c r="N611" s="11">
        <v>99</v>
      </c>
      <c r="O611" s="11">
        <v>16</v>
      </c>
      <c r="P611" s="11">
        <v>17</v>
      </c>
      <c r="Q611" s="11">
        <v>66</v>
      </c>
      <c r="R611" s="5">
        <f t="shared" si="36"/>
        <v>0.33333333333333331</v>
      </c>
      <c r="S611" s="13" t="str">
        <f t="shared" si="37"/>
        <v>=&lt;50</v>
      </c>
      <c r="T611" s="14">
        <f t="shared" si="38"/>
        <v>5</v>
      </c>
      <c r="U611" s="14">
        <f t="shared" si="39"/>
        <v>2.5</v>
      </c>
    </row>
    <row r="612" spans="1:21" x14ac:dyDescent="0.25">
      <c r="A612" s="1">
        <v>62330167</v>
      </c>
      <c r="B612" s="1">
        <v>200542</v>
      </c>
      <c r="C612" s="1" t="s">
        <v>1171</v>
      </c>
      <c r="D612" s="1" t="s">
        <v>1149</v>
      </c>
      <c r="E612" s="1" t="s">
        <v>1172</v>
      </c>
      <c r="F612" s="1" t="s">
        <v>76</v>
      </c>
      <c r="G612" s="1" t="s">
        <v>23</v>
      </c>
      <c r="H612" s="1" t="s">
        <v>19</v>
      </c>
      <c r="I612" s="1" t="s">
        <v>159</v>
      </c>
      <c r="J612" s="1" t="s">
        <v>160</v>
      </c>
      <c r="K612" s="1" t="str">
        <f>VLOOKUP(J612,'IU Major Match'!$D$2:$E$65,2,FALSE)</f>
        <v xml:space="preserve">Major exists in IU </v>
      </c>
      <c r="L612" s="1">
        <v>96171236719</v>
      </c>
      <c r="M612" s="1" t="s">
        <v>90</v>
      </c>
      <c r="N612" s="11">
        <v>99</v>
      </c>
      <c r="O612" s="11">
        <v>55</v>
      </c>
      <c r="P612" s="11">
        <v>16</v>
      </c>
      <c r="Q612" s="11">
        <v>28</v>
      </c>
      <c r="R612" s="5">
        <f t="shared" si="36"/>
        <v>0.71717171717171713</v>
      </c>
      <c r="S612" s="13" t="str">
        <f t="shared" si="37"/>
        <v>&gt;50</v>
      </c>
      <c r="T612" s="14">
        <f t="shared" si="38"/>
        <v>2</v>
      </c>
      <c r="U612" s="14">
        <f t="shared" si="39"/>
        <v>1</v>
      </c>
    </row>
    <row r="613" spans="1:21" x14ac:dyDescent="0.25">
      <c r="A613" s="1">
        <v>62610005</v>
      </c>
      <c r="B613" s="1">
        <v>227240</v>
      </c>
      <c r="C613" s="1" t="s">
        <v>1173</v>
      </c>
      <c r="D613" s="1" t="s">
        <v>617</v>
      </c>
      <c r="E613" s="1" t="s">
        <v>1174</v>
      </c>
      <c r="F613" s="1" t="s">
        <v>76</v>
      </c>
      <c r="G613" s="1" t="s">
        <v>23</v>
      </c>
      <c r="H613" s="1" t="s">
        <v>19</v>
      </c>
      <c r="I613" s="1" t="s">
        <v>250</v>
      </c>
      <c r="J613" s="1" t="s">
        <v>251</v>
      </c>
      <c r="K613" s="1" t="str">
        <f>VLOOKUP(J613,'IU Major Match'!$D$2:$E$65,2,FALSE)</f>
        <v xml:space="preserve">Major exists in IU </v>
      </c>
      <c r="L613" s="1">
        <v>96181074929</v>
      </c>
      <c r="M613" s="1" t="s">
        <v>84</v>
      </c>
      <c r="N613" s="11">
        <v>99</v>
      </c>
      <c r="O613" s="11">
        <v>0</v>
      </c>
      <c r="P613" s="11">
        <v>12</v>
      </c>
      <c r="Q613" s="11">
        <v>93</v>
      </c>
      <c r="R613" s="5">
        <f t="shared" si="36"/>
        <v>0.12121212121212122</v>
      </c>
      <c r="S613" s="13" t="str">
        <f t="shared" si="37"/>
        <v>=&lt;50</v>
      </c>
      <c r="T613" s="14">
        <f t="shared" si="38"/>
        <v>7</v>
      </c>
      <c r="U613" s="14">
        <f t="shared" si="39"/>
        <v>3.5</v>
      </c>
    </row>
    <row r="614" spans="1:21" x14ac:dyDescent="0.25">
      <c r="A614" s="1">
        <v>62530252</v>
      </c>
      <c r="B614" s="1">
        <v>225554</v>
      </c>
      <c r="C614" s="1" t="s">
        <v>1175</v>
      </c>
      <c r="D614" s="1" t="s">
        <v>1176</v>
      </c>
      <c r="E614" s="1" t="s">
        <v>1177</v>
      </c>
      <c r="F614" s="1" t="s">
        <v>76</v>
      </c>
      <c r="G614" s="1" t="s">
        <v>93</v>
      </c>
      <c r="H614" s="1" t="s">
        <v>19</v>
      </c>
      <c r="I614" s="1" t="s">
        <v>124</v>
      </c>
      <c r="J614" s="1" t="s">
        <v>125</v>
      </c>
      <c r="K614" s="1" t="str">
        <f>VLOOKUP(J614,'IU Major Match'!$D$2:$E$65,2,FALSE)</f>
        <v xml:space="preserve">Major exists in IU </v>
      </c>
      <c r="L614" s="1">
        <v>81231462</v>
      </c>
      <c r="M614" s="1" t="s">
        <v>99</v>
      </c>
      <c r="N614" s="11">
        <v>99</v>
      </c>
      <c r="O614" s="11">
        <v>0</v>
      </c>
      <c r="P614" s="11">
        <v>13</v>
      </c>
      <c r="Q614" s="11">
        <v>94</v>
      </c>
      <c r="R614" s="5">
        <f t="shared" si="36"/>
        <v>0.13131313131313133</v>
      </c>
      <c r="S614" s="13" t="str">
        <f t="shared" si="37"/>
        <v>=&lt;50</v>
      </c>
      <c r="T614" s="14">
        <f t="shared" si="38"/>
        <v>7</v>
      </c>
      <c r="U614" s="14">
        <f t="shared" si="39"/>
        <v>3.5</v>
      </c>
    </row>
    <row r="615" spans="1:21" x14ac:dyDescent="0.25">
      <c r="A615" s="1">
        <v>62230145</v>
      </c>
      <c r="B615" s="1">
        <v>188162</v>
      </c>
      <c r="C615" s="1" t="s">
        <v>1178</v>
      </c>
      <c r="D615" s="1" t="s">
        <v>214</v>
      </c>
      <c r="E615" s="1" t="s">
        <v>1179</v>
      </c>
      <c r="F615" s="1" t="s">
        <v>76</v>
      </c>
      <c r="G615" s="1" t="s">
        <v>93</v>
      </c>
      <c r="H615" s="1" t="s">
        <v>19</v>
      </c>
      <c r="I615" s="1" t="s">
        <v>107</v>
      </c>
      <c r="J615" s="1" t="s">
        <v>108</v>
      </c>
      <c r="K615" s="1" t="str">
        <f>VLOOKUP(J615,'IU Major Match'!$D$2:$E$65,2,FALSE)</f>
        <v xml:space="preserve">Major exists in IU </v>
      </c>
      <c r="L615" s="1">
        <v>96176903142</v>
      </c>
      <c r="M615" s="1" t="s">
        <v>153</v>
      </c>
      <c r="N615" s="11">
        <v>99</v>
      </c>
      <c r="O615" s="11">
        <v>12</v>
      </c>
      <c r="P615" s="11">
        <v>13</v>
      </c>
      <c r="Q615" s="11">
        <v>82</v>
      </c>
      <c r="R615" s="5">
        <f t="shared" si="36"/>
        <v>0.25252525252525254</v>
      </c>
      <c r="S615" s="13" t="str">
        <f t="shared" si="37"/>
        <v>=&lt;50</v>
      </c>
      <c r="T615" s="14">
        <f t="shared" si="38"/>
        <v>6</v>
      </c>
      <c r="U615" s="14">
        <f t="shared" si="39"/>
        <v>3</v>
      </c>
    </row>
    <row r="616" spans="1:21" x14ac:dyDescent="0.25">
      <c r="A616" s="1">
        <v>62430324</v>
      </c>
      <c r="B616" s="1">
        <v>216891</v>
      </c>
      <c r="C616" s="1" t="s">
        <v>1180</v>
      </c>
      <c r="D616" s="1" t="s">
        <v>367</v>
      </c>
      <c r="E616" s="1" t="s">
        <v>1181</v>
      </c>
      <c r="F616" s="1" t="s">
        <v>76</v>
      </c>
      <c r="G616" s="1" t="s">
        <v>23</v>
      </c>
      <c r="H616" s="1" t="s">
        <v>19</v>
      </c>
      <c r="I616" s="1" t="s">
        <v>116</v>
      </c>
      <c r="J616" s="1" t="s">
        <v>117</v>
      </c>
      <c r="K616" s="1" t="str">
        <f>VLOOKUP(J616,'IU Major Match'!$D$2:$E$65,2,FALSE)</f>
        <v>Major Dont exists in IU</v>
      </c>
      <c r="L616" s="1">
        <v>96171498467</v>
      </c>
      <c r="M616" s="1" t="s">
        <v>113</v>
      </c>
      <c r="N616" s="11">
        <v>99</v>
      </c>
      <c r="O616" s="11">
        <v>17</v>
      </c>
      <c r="P616" s="11">
        <v>14</v>
      </c>
      <c r="Q616" s="11">
        <v>68</v>
      </c>
      <c r="R616" s="5">
        <f t="shared" si="36"/>
        <v>0.31313131313131315</v>
      </c>
      <c r="S616" s="13" t="str">
        <f t="shared" si="37"/>
        <v>=&lt;50</v>
      </c>
      <c r="T616" s="14">
        <f t="shared" si="38"/>
        <v>5</v>
      </c>
      <c r="U616" s="14">
        <f t="shared" si="39"/>
        <v>2.5</v>
      </c>
    </row>
    <row r="617" spans="1:21" x14ac:dyDescent="0.25">
      <c r="A617" s="1">
        <v>61510051</v>
      </c>
      <c r="B617" s="1">
        <v>92003</v>
      </c>
      <c r="C617" s="1" t="s">
        <v>757</v>
      </c>
      <c r="D617" s="1" t="s">
        <v>1182</v>
      </c>
      <c r="E617" s="1" t="s">
        <v>1183</v>
      </c>
      <c r="F617" s="1" t="s">
        <v>76</v>
      </c>
      <c r="G617" s="1" t="s">
        <v>93</v>
      </c>
      <c r="H617" s="1" t="s">
        <v>19</v>
      </c>
      <c r="I617" s="1" t="s">
        <v>107</v>
      </c>
      <c r="J617" s="1" t="s">
        <v>108</v>
      </c>
      <c r="K617" s="1" t="str">
        <f>VLOOKUP(J617,'IU Major Match'!$D$2:$E$65,2,FALSE)</f>
        <v xml:space="preserve">Major exists in IU </v>
      </c>
      <c r="L617" s="1">
        <v>3283624</v>
      </c>
      <c r="M617" s="1" t="s">
        <v>1184</v>
      </c>
      <c r="N617" s="11">
        <v>99</v>
      </c>
      <c r="O617" s="11">
        <v>84</v>
      </c>
      <c r="P617" s="11">
        <v>15</v>
      </c>
      <c r="Q617" s="11">
        <v>0</v>
      </c>
      <c r="R617" s="5">
        <f t="shared" si="36"/>
        <v>1</v>
      </c>
      <c r="S617" s="13" t="str">
        <f t="shared" si="37"/>
        <v>&gt;50</v>
      </c>
      <c r="T617" s="14">
        <f t="shared" si="38"/>
        <v>0</v>
      </c>
      <c r="U617" s="14">
        <f t="shared" si="39"/>
        <v>0</v>
      </c>
    </row>
    <row r="618" spans="1:21" x14ac:dyDescent="0.25">
      <c r="A618" s="1">
        <v>62230042</v>
      </c>
      <c r="B618" s="1">
        <v>188113</v>
      </c>
      <c r="C618" s="1" t="s">
        <v>1185</v>
      </c>
      <c r="D618" s="1" t="s">
        <v>1186</v>
      </c>
      <c r="E618" s="1" t="s">
        <v>765</v>
      </c>
      <c r="F618" s="1" t="s">
        <v>76</v>
      </c>
      <c r="G618" s="1" t="s">
        <v>23</v>
      </c>
      <c r="H618" s="1" t="s">
        <v>19</v>
      </c>
      <c r="I618" s="1" t="s">
        <v>151</v>
      </c>
      <c r="J618" s="1" t="s">
        <v>152</v>
      </c>
      <c r="K618" s="1" t="str">
        <f>VLOOKUP(J618,'IU Major Match'!$D$2:$E$65,2,FALSE)</f>
        <v>Major Dont exists in IU</v>
      </c>
      <c r="L618" s="1">
        <v>76157317</v>
      </c>
      <c r="M618" s="1" t="s">
        <v>153</v>
      </c>
      <c r="N618" s="11">
        <v>105</v>
      </c>
      <c r="O618" s="11">
        <v>93</v>
      </c>
      <c r="P618" s="11">
        <v>12</v>
      </c>
      <c r="Q618" s="11">
        <v>0</v>
      </c>
      <c r="R618" s="5">
        <f t="shared" si="36"/>
        <v>1</v>
      </c>
      <c r="S618" s="13" t="str">
        <f t="shared" si="37"/>
        <v>&gt;50</v>
      </c>
      <c r="T618" s="14">
        <f t="shared" si="38"/>
        <v>0</v>
      </c>
      <c r="U618" s="14">
        <f t="shared" si="39"/>
        <v>0</v>
      </c>
    </row>
    <row r="619" spans="1:21" x14ac:dyDescent="0.25">
      <c r="A619" s="1">
        <v>62510047</v>
      </c>
      <c r="B619" s="1">
        <v>218667</v>
      </c>
      <c r="C619" s="1" t="s">
        <v>1185</v>
      </c>
      <c r="D619" s="1" t="s">
        <v>119</v>
      </c>
      <c r="E619" s="1" t="s">
        <v>956</v>
      </c>
      <c r="F619" s="1" t="s">
        <v>76</v>
      </c>
      <c r="G619" s="1" t="s">
        <v>23</v>
      </c>
      <c r="H619" s="1" t="s">
        <v>19</v>
      </c>
      <c r="I619" s="1" t="s">
        <v>226</v>
      </c>
      <c r="J619" s="1" t="s">
        <v>227</v>
      </c>
      <c r="K619" s="1" t="str">
        <f>VLOOKUP(J619,'IU Major Match'!$D$2:$E$65,2,FALSE)</f>
        <v>Major Dont exists in IU</v>
      </c>
      <c r="L619" s="1">
        <v>76354033</v>
      </c>
      <c r="M619" s="1" t="s">
        <v>242</v>
      </c>
      <c r="N619" s="11">
        <v>99</v>
      </c>
      <c r="O619" s="11">
        <v>62</v>
      </c>
      <c r="P619" s="11">
        <v>14</v>
      </c>
      <c r="Q619" s="11">
        <v>23</v>
      </c>
      <c r="R619" s="5">
        <f t="shared" si="36"/>
        <v>0.76767676767676762</v>
      </c>
      <c r="S619" s="13" t="str">
        <f t="shared" si="37"/>
        <v>&gt;50</v>
      </c>
      <c r="T619" s="14">
        <f t="shared" si="38"/>
        <v>2</v>
      </c>
      <c r="U619" s="14">
        <f t="shared" si="39"/>
        <v>1</v>
      </c>
    </row>
    <row r="620" spans="1:21" x14ac:dyDescent="0.25">
      <c r="A620" s="1">
        <v>62230149</v>
      </c>
      <c r="B620" s="1">
        <v>187653</v>
      </c>
      <c r="C620" s="1" t="s">
        <v>1187</v>
      </c>
      <c r="D620" s="1" t="s">
        <v>325</v>
      </c>
      <c r="E620" s="1" t="s">
        <v>1188</v>
      </c>
      <c r="F620" s="1" t="s">
        <v>76</v>
      </c>
      <c r="G620" s="1" t="s">
        <v>93</v>
      </c>
      <c r="H620" s="1" t="s">
        <v>19</v>
      </c>
      <c r="I620" s="1" t="s">
        <v>94</v>
      </c>
      <c r="J620" s="1" t="s">
        <v>95</v>
      </c>
      <c r="K620" s="1" t="str">
        <f>VLOOKUP(J620,'IU Major Match'!$D$2:$E$65,2,FALSE)</f>
        <v xml:space="preserve">Major exists in IU </v>
      </c>
      <c r="L620" s="1">
        <v>96170939132</v>
      </c>
      <c r="M620" s="1" t="s">
        <v>153</v>
      </c>
      <c r="N620" s="11">
        <v>99</v>
      </c>
      <c r="O620" s="11">
        <v>87</v>
      </c>
      <c r="P620" s="11">
        <v>12</v>
      </c>
      <c r="Q620" s="11">
        <v>0</v>
      </c>
      <c r="R620" s="5">
        <f t="shared" si="36"/>
        <v>1</v>
      </c>
      <c r="S620" s="13" t="str">
        <f t="shared" si="37"/>
        <v>&gt;50</v>
      </c>
      <c r="T620" s="14">
        <f t="shared" si="38"/>
        <v>0</v>
      </c>
      <c r="U620" s="14">
        <f t="shared" si="39"/>
        <v>0</v>
      </c>
    </row>
    <row r="621" spans="1:21" x14ac:dyDescent="0.25">
      <c r="A621" s="1">
        <v>62430167</v>
      </c>
      <c r="B621" s="1">
        <v>212188</v>
      </c>
      <c r="C621" s="1" t="s">
        <v>1189</v>
      </c>
      <c r="D621" s="1" t="s">
        <v>50</v>
      </c>
      <c r="E621" s="1" t="s">
        <v>502</v>
      </c>
      <c r="F621" s="1" t="s">
        <v>76</v>
      </c>
      <c r="G621" s="1" t="s">
        <v>93</v>
      </c>
      <c r="H621" s="1" t="s">
        <v>19</v>
      </c>
      <c r="I621" s="1" t="s">
        <v>168</v>
      </c>
      <c r="J621" s="1" t="s">
        <v>169</v>
      </c>
      <c r="K621" s="1" t="str">
        <f>VLOOKUP(J621,'IU Major Match'!$D$2:$E$65,2,FALSE)</f>
        <v>Major Dont exists in IU</v>
      </c>
      <c r="L621" s="1">
        <v>76381909</v>
      </c>
      <c r="M621" s="1" t="s">
        <v>113</v>
      </c>
      <c r="N621" s="11">
        <v>99</v>
      </c>
      <c r="O621" s="11">
        <v>24</v>
      </c>
      <c r="P621" s="11">
        <v>12</v>
      </c>
      <c r="Q621" s="11">
        <v>63</v>
      </c>
      <c r="R621" s="5">
        <f t="shared" si="36"/>
        <v>0.36363636363636365</v>
      </c>
      <c r="S621" s="13" t="str">
        <f t="shared" si="37"/>
        <v>=&lt;50</v>
      </c>
      <c r="T621" s="14">
        <f t="shared" si="38"/>
        <v>5</v>
      </c>
      <c r="U621" s="14">
        <f t="shared" si="39"/>
        <v>2.5</v>
      </c>
    </row>
    <row r="622" spans="1:21" x14ac:dyDescent="0.25">
      <c r="A622" s="1">
        <v>62330170</v>
      </c>
      <c r="B622" s="1">
        <v>201037</v>
      </c>
      <c r="C622" s="1" t="s">
        <v>1190</v>
      </c>
      <c r="D622" s="1" t="s">
        <v>256</v>
      </c>
      <c r="E622" s="1" t="s">
        <v>1191</v>
      </c>
      <c r="F622" s="1" t="s">
        <v>76</v>
      </c>
      <c r="G622" s="1" t="s">
        <v>23</v>
      </c>
      <c r="H622" s="1" t="s">
        <v>19</v>
      </c>
      <c r="I622" s="1" t="s">
        <v>159</v>
      </c>
      <c r="J622" s="1" t="s">
        <v>160</v>
      </c>
      <c r="K622" s="1" t="str">
        <f>VLOOKUP(J622,'IU Major Match'!$D$2:$E$65,2,FALSE)</f>
        <v xml:space="preserve">Major exists in IU </v>
      </c>
      <c r="L622" s="1">
        <v>96176844025</v>
      </c>
      <c r="M622" s="1" t="s">
        <v>90</v>
      </c>
      <c r="N622" s="11">
        <v>99</v>
      </c>
      <c r="O622" s="11">
        <v>61</v>
      </c>
      <c r="P622" s="11">
        <v>16</v>
      </c>
      <c r="Q622" s="11">
        <v>22</v>
      </c>
      <c r="R622" s="5">
        <f t="shared" si="36"/>
        <v>0.77777777777777779</v>
      </c>
      <c r="S622" s="13" t="str">
        <f t="shared" si="37"/>
        <v>&gt;50</v>
      </c>
      <c r="T622" s="14">
        <f t="shared" si="38"/>
        <v>2</v>
      </c>
      <c r="U622" s="14">
        <f t="shared" si="39"/>
        <v>1</v>
      </c>
    </row>
    <row r="623" spans="1:21" x14ac:dyDescent="0.25">
      <c r="A623" s="1">
        <v>62030134</v>
      </c>
      <c r="B623" s="1">
        <v>153464</v>
      </c>
      <c r="C623" s="1" t="s">
        <v>1192</v>
      </c>
      <c r="D623" s="1" t="s">
        <v>1193</v>
      </c>
      <c r="E623" s="1" t="s">
        <v>1194</v>
      </c>
      <c r="F623" s="1" t="s">
        <v>76</v>
      </c>
      <c r="G623" s="1" t="s">
        <v>23</v>
      </c>
      <c r="H623" s="1" t="s">
        <v>19</v>
      </c>
      <c r="I623" s="1" t="s">
        <v>237</v>
      </c>
      <c r="J623" s="1" t="s">
        <v>238</v>
      </c>
      <c r="K623" s="1" t="str">
        <f>VLOOKUP(J623,'IU Major Match'!$D$2:$E$65,2,FALSE)</f>
        <v xml:space="preserve">Major exists in IU </v>
      </c>
      <c r="L623" s="1">
        <v>81335248</v>
      </c>
      <c r="M623" s="1" t="s">
        <v>51</v>
      </c>
      <c r="N623" s="11">
        <v>108</v>
      </c>
      <c r="O623" s="11">
        <v>105</v>
      </c>
      <c r="P623" s="11">
        <v>3</v>
      </c>
      <c r="Q623" s="11">
        <v>0</v>
      </c>
      <c r="R623" s="5">
        <f t="shared" si="36"/>
        <v>1</v>
      </c>
      <c r="S623" s="13" t="str">
        <f t="shared" si="37"/>
        <v>&gt;50</v>
      </c>
      <c r="T623" s="14">
        <f t="shared" si="38"/>
        <v>0</v>
      </c>
      <c r="U623" s="14">
        <f t="shared" si="39"/>
        <v>0</v>
      </c>
    </row>
    <row r="624" spans="1:21" x14ac:dyDescent="0.25">
      <c r="A624" s="1">
        <v>62230009</v>
      </c>
      <c r="B624" s="1">
        <v>186432</v>
      </c>
      <c r="C624" s="1" t="s">
        <v>1195</v>
      </c>
      <c r="D624" s="1" t="s">
        <v>131</v>
      </c>
      <c r="E624" s="1" t="s">
        <v>234</v>
      </c>
      <c r="F624" s="1" t="s">
        <v>76</v>
      </c>
      <c r="G624" s="1" t="s">
        <v>23</v>
      </c>
      <c r="H624" s="1" t="s">
        <v>19</v>
      </c>
      <c r="I624" s="1" t="s">
        <v>438</v>
      </c>
      <c r="J624" s="1" t="s">
        <v>439</v>
      </c>
      <c r="K624" s="1" t="str">
        <f>VLOOKUP(J624,'IU Major Match'!$D$2:$E$65,2,FALSE)</f>
        <v xml:space="preserve">Major exists in IU </v>
      </c>
      <c r="L624" s="1">
        <v>70188763</v>
      </c>
      <c r="M624" s="1" t="s">
        <v>153</v>
      </c>
      <c r="N624" s="11">
        <v>108</v>
      </c>
      <c r="O624" s="11">
        <v>87</v>
      </c>
      <c r="P624" s="11">
        <v>9</v>
      </c>
      <c r="Q624" s="11">
        <v>12</v>
      </c>
      <c r="R624" s="5">
        <f t="shared" si="36"/>
        <v>0.88888888888888884</v>
      </c>
      <c r="S624" s="13" t="str">
        <f t="shared" si="37"/>
        <v>&gt;50</v>
      </c>
      <c r="T624" s="14">
        <f t="shared" si="38"/>
        <v>1</v>
      </c>
      <c r="U624" s="14">
        <f t="shared" si="39"/>
        <v>0.5</v>
      </c>
    </row>
    <row r="625" spans="1:21" x14ac:dyDescent="0.25">
      <c r="A625" s="1">
        <v>62530080</v>
      </c>
      <c r="B625" s="1">
        <v>219786</v>
      </c>
      <c r="C625" s="1" t="s">
        <v>1196</v>
      </c>
      <c r="D625" s="1" t="s">
        <v>1197</v>
      </c>
      <c r="E625" s="1" t="s">
        <v>1198</v>
      </c>
      <c r="F625" s="1" t="s">
        <v>76</v>
      </c>
      <c r="G625" s="1" t="s">
        <v>23</v>
      </c>
      <c r="H625" s="1" t="s">
        <v>19</v>
      </c>
      <c r="I625" s="1" t="s">
        <v>142</v>
      </c>
      <c r="J625" s="1" t="s">
        <v>143</v>
      </c>
      <c r="K625" s="1" t="str">
        <f>VLOOKUP(J625,'IU Major Match'!$D$2:$E$65,2,FALSE)</f>
        <v xml:space="preserve">Major exists in IU </v>
      </c>
      <c r="L625" s="1">
        <v>96171501834</v>
      </c>
      <c r="M625" s="1" t="s">
        <v>99</v>
      </c>
      <c r="N625" s="11">
        <v>99</v>
      </c>
      <c r="O625" s="11">
        <v>9</v>
      </c>
      <c r="P625" s="11">
        <v>16</v>
      </c>
      <c r="Q625" s="11">
        <v>78</v>
      </c>
      <c r="R625" s="5">
        <f t="shared" si="36"/>
        <v>0.25252525252525254</v>
      </c>
      <c r="S625" s="13" t="str">
        <f t="shared" si="37"/>
        <v>=&lt;50</v>
      </c>
      <c r="T625" s="14">
        <f t="shared" si="38"/>
        <v>6</v>
      </c>
      <c r="U625" s="14">
        <f t="shared" si="39"/>
        <v>3</v>
      </c>
    </row>
    <row r="626" spans="1:21" x14ac:dyDescent="0.25">
      <c r="A626" s="1">
        <v>62510016</v>
      </c>
      <c r="B626" s="1">
        <v>217799</v>
      </c>
      <c r="C626" s="1" t="s">
        <v>800</v>
      </c>
      <c r="D626" s="1" t="s">
        <v>15</v>
      </c>
      <c r="E626" s="1" t="s">
        <v>1199</v>
      </c>
      <c r="F626" s="1" t="s">
        <v>76</v>
      </c>
      <c r="G626" s="1" t="s">
        <v>23</v>
      </c>
      <c r="H626" s="1" t="s">
        <v>19</v>
      </c>
      <c r="I626" s="1" t="s">
        <v>945</v>
      </c>
      <c r="J626" s="1" t="s">
        <v>946</v>
      </c>
      <c r="K626" s="1" t="str">
        <f>VLOOKUP(J626,'IU Major Match'!$D$2:$E$65,2,FALSE)</f>
        <v>Major Dont exists in IU</v>
      </c>
      <c r="L626" s="1">
        <v>76131127</v>
      </c>
      <c r="M626" s="1" t="s">
        <v>242</v>
      </c>
      <c r="N626" s="11">
        <v>99</v>
      </c>
      <c r="O626" s="11">
        <v>13</v>
      </c>
      <c r="P626" s="11">
        <v>10</v>
      </c>
      <c r="Q626" s="11">
        <v>76</v>
      </c>
      <c r="R626" s="5">
        <f t="shared" si="36"/>
        <v>0.23232323232323232</v>
      </c>
      <c r="S626" s="13" t="str">
        <f t="shared" si="37"/>
        <v>=&lt;50</v>
      </c>
      <c r="T626" s="14">
        <f t="shared" si="38"/>
        <v>6</v>
      </c>
      <c r="U626" s="14">
        <f t="shared" si="39"/>
        <v>3</v>
      </c>
    </row>
    <row r="627" spans="1:21" x14ac:dyDescent="0.25">
      <c r="A627" s="1">
        <v>62230353</v>
      </c>
      <c r="B627" s="1">
        <v>191690</v>
      </c>
      <c r="C627" s="1" t="s">
        <v>1132</v>
      </c>
      <c r="D627" s="1" t="s">
        <v>538</v>
      </c>
      <c r="E627" s="1" t="s">
        <v>1200</v>
      </c>
      <c r="F627" s="1" t="s">
        <v>76</v>
      </c>
      <c r="G627" s="1" t="s">
        <v>93</v>
      </c>
      <c r="H627" s="1" t="s">
        <v>19</v>
      </c>
      <c r="I627" s="1" t="s">
        <v>320</v>
      </c>
      <c r="J627" s="1" t="s">
        <v>321</v>
      </c>
      <c r="K627" s="1" t="str">
        <f>VLOOKUP(J627,'IU Major Match'!$D$2:$E$65,2,FALSE)</f>
        <v xml:space="preserve">Major exists in IU </v>
      </c>
      <c r="L627" s="1">
        <v>71781377</v>
      </c>
      <c r="M627" s="1" t="s">
        <v>153</v>
      </c>
      <c r="N627" s="11">
        <v>99</v>
      </c>
      <c r="O627" s="11">
        <v>81</v>
      </c>
      <c r="P627" s="11">
        <v>18</v>
      </c>
      <c r="Q627" s="11">
        <v>0</v>
      </c>
      <c r="R627" s="5">
        <f t="shared" si="36"/>
        <v>1</v>
      </c>
      <c r="S627" s="13" t="str">
        <f t="shared" si="37"/>
        <v>&gt;50</v>
      </c>
      <c r="T627" s="14">
        <f t="shared" si="38"/>
        <v>0</v>
      </c>
      <c r="U627" s="14">
        <f t="shared" si="39"/>
        <v>0</v>
      </c>
    </row>
    <row r="628" spans="1:21" x14ac:dyDescent="0.25">
      <c r="A628" s="1">
        <v>62330080</v>
      </c>
      <c r="B628" s="1">
        <v>201961</v>
      </c>
      <c r="C628" s="1" t="s">
        <v>1132</v>
      </c>
      <c r="D628" s="1" t="s">
        <v>101</v>
      </c>
      <c r="E628" s="1" t="s">
        <v>71</v>
      </c>
      <c r="F628" s="1" t="s">
        <v>76</v>
      </c>
      <c r="G628" s="1" t="s">
        <v>23</v>
      </c>
      <c r="H628" s="1" t="s">
        <v>19</v>
      </c>
      <c r="I628" s="1" t="s">
        <v>116</v>
      </c>
      <c r="J628" s="1" t="s">
        <v>117</v>
      </c>
      <c r="K628" s="1" t="str">
        <f>VLOOKUP(J628,'IU Major Match'!$D$2:$E$65,2,FALSE)</f>
        <v>Major Dont exists in IU</v>
      </c>
      <c r="L628" s="1">
        <v>96181764545</v>
      </c>
      <c r="M628" s="1" t="s">
        <v>90</v>
      </c>
      <c r="N628" s="11">
        <v>99</v>
      </c>
      <c r="O628" s="11">
        <v>65</v>
      </c>
      <c r="P628" s="11">
        <v>16</v>
      </c>
      <c r="Q628" s="11">
        <v>18</v>
      </c>
      <c r="R628" s="5">
        <f t="shared" si="36"/>
        <v>0.81818181818181823</v>
      </c>
      <c r="S628" s="13" t="str">
        <f t="shared" si="37"/>
        <v>&gt;50</v>
      </c>
      <c r="T628" s="14">
        <f t="shared" si="38"/>
        <v>2</v>
      </c>
      <c r="U628" s="14">
        <f t="shared" si="39"/>
        <v>1</v>
      </c>
    </row>
    <row r="629" spans="1:21" x14ac:dyDescent="0.25">
      <c r="A629" s="1">
        <v>62330294</v>
      </c>
      <c r="B629" s="1">
        <v>205847</v>
      </c>
      <c r="C629" s="1" t="s">
        <v>1132</v>
      </c>
      <c r="D629" s="1" t="s">
        <v>1058</v>
      </c>
      <c r="E629" s="1" t="s">
        <v>1099</v>
      </c>
      <c r="F629" s="1" t="s">
        <v>76</v>
      </c>
      <c r="G629" s="1" t="s">
        <v>93</v>
      </c>
      <c r="H629" s="1" t="s">
        <v>19</v>
      </c>
      <c r="I629" s="1" t="s">
        <v>107</v>
      </c>
      <c r="J629" s="1" t="s">
        <v>108</v>
      </c>
      <c r="K629" s="1" t="str">
        <f>VLOOKUP(J629,'IU Major Match'!$D$2:$E$65,2,FALSE)</f>
        <v xml:space="preserve">Major exists in IU </v>
      </c>
      <c r="L629" s="1">
        <v>76496065</v>
      </c>
      <c r="M629" s="1" t="s">
        <v>90</v>
      </c>
      <c r="N629" s="11">
        <v>99</v>
      </c>
      <c r="O629" s="11">
        <v>27</v>
      </c>
      <c r="P629" s="11">
        <v>12</v>
      </c>
      <c r="Q629" s="11">
        <v>60</v>
      </c>
      <c r="R629" s="5">
        <f t="shared" si="36"/>
        <v>0.39393939393939392</v>
      </c>
      <c r="S629" s="13" t="str">
        <f t="shared" si="37"/>
        <v>=&lt;50</v>
      </c>
      <c r="T629" s="14">
        <f t="shared" si="38"/>
        <v>4</v>
      </c>
      <c r="U629" s="14">
        <f t="shared" si="39"/>
        <v>2</v>
      </c>
    </row>
    <row r="630" spans="1:21" x14ac:dyDescent="0.25">
      <c r="A630" s="1">
        <v>62230368</v>
      </c>
      <c r="B630" s="1">
        <v>193291</v>
      </c>
      <c r="C630" s="1" t="s">
        <v>1132</v>
      </c>
      <c r="D630" s="1" t="s">
        <v>447</v>
      </c>
      <c r="E630" s="1" t="s">
        <v>458</v>
      </c>
      <c r="F630" s="1" t="s">
        <v>76</v>
      </c>
      <c r="G630" s="1" t="s">
        <v>23</v>
      </c>
      <c r="H630" s="1" t="s">
        <v>19</v>
      </c>
      <c r="I630" s="1" t="s">
        <v>151</v>
      </c>
      <c r="J630" s="1" t="s">
        <v>152</v>
      </c>
      <c r="K630" s="1" t="str">
        <f>VLOOKUP(J630,'IU Major Match'!$D$2:$E$65,2,FALSE)</f>
        <v>Major Dont exists in IU</v>
      </c>
      <c r="L630" s="1">
        <v>96178848588</v>
      </c>
      <c r="M630" s="1" t="s">
        <v>153</v>
      </c>
      <c r="N630" s="11">
        <v>105</v>
      </c>
      <c r="O630" s="11">
        <v>87</v>
      </c>
      <c r="P630" s="11">
        <v>15</v>
      </c>
      <c r="Q630" s="11">
        <v>3</v>
      </c>
      <c r="R630" s="5">
        <f t="shared" si="36"/>
        <v>0.97142857142857142</v>
      </c>
      <c r="S630" s="13" t="str">
        <f t="shared" si="37"/>
        <v>&gt;50</v>
      </c>
      <c r="T630" s="14">
        <f t="shared" si="38"/>
        <v>1</v>
      </c>
      <c r="U630" s="14">
        <f t="shared" si="39"/>
        <v>0.5</v>
      </c>
    </row>
    <row r="631" spans="1:21" x14ac:dyDescent="0.25">
      <c r="A631" s="1">
        <v>62230043</v>
      </c>
      <c r="B631" s="1">
        <v>188103</v>
      </c>
      <c r="C631" s="1" t="s">
        <v>1132</v>
      </c>
      <c r="D631" s="1" t="s">
        <v>602</v>
      </c>
      <c r="E631" s="1" t="s">
        <v>603</v>
      </c>
      <c r="F631" s="1" t="s">
        <v>76</v>
      </c>
      <c r="G631" s="1" t="s">
        <v>93</v>
      </c>
      <c r="H631" s="1" t="s">
        <v>19</v>
      </c>
      <c r="I631" s="1" t="s">
        <v>168</v>
      </c>
      <c r="J631" s="1" t="s">
        <v>169</v>
      </c>
      <c r="K631" s="1" t="str">
        <f>VLOOKUP(J631,'IU Major Match'!$D$2:$E$65,2,FALSE)</f>
        <v>Major Dont exists in IU</v>
      </c>
      <c r="L631" s="1">
        <v>71076323</v>
      </c>
      <c r="M631" s="1" t="s">
        <v>153</v>
      </c>
      <c r="N631" s="11">
        <v>99</v>
      </c>
      <c r="O631" s="11">
        <v>87</v>
      </c>
      <c r="P631" s="11">
        <v>12</v>
      </c>
      <c r="Q631" s="11">
        <v>0</v>
      </c>
      <c r="R631" s="5">
        <f t="shared" si="36"/>
        <v>1</v>
      </c>
      <c r="S631" s="13" t="str">
        <f t="shared" si="37"/>
        <v>&gt;50</v>
      </c>
      <c r="T631" s="14">
        <f t="shared" si="38"/>
        <v>0</v>
      </c>
      <c r="U631" s="14">
        <f t="shared" si="39"/>
        <v>0</v>
      </c>
    </row>
    <row r="632" spans="1:21" x14ac:dyDescent="0.25">
      <c r="A632" s="1">
        <v>62530003</v>
      </c>
      <c r="B632" s="1">
        <v>221454</v>
      </c>
      <c r="C632" s="1" t="s">
        <v>1132</v>
      </c>
      <c r="D632" s="1" t="s">
        <v>190</v>
      </c>
      <c r="E632" s="1" t="s">
        <v>938</v>
      </c>
      <c r="F632" s="1" t="s">
        <v>76</v>
      </c>
      <c r="G632" s="1" t="s">
        <v>200</v>
      </c>
      <c r="H632" s="1" t="s">
        <v>19</v>
      </c>
      <c r="I632" s="1" t="s">
        <v>201</v>
      </c>
      <c r="J632" s="1" t="s">
        <v>202</v>
      </c>
      <c r="K632" s="1" t="str">
        <f>VLOOKUP(J632,'IU Major Match'!$D$2:$E$65,2,FALSE)</f>
        <v>Major Dont exists in IU</v>
      </c>
      <c r="L632" s="1">
        <v>96170726280</v>
      </c>
      <c r="M632" s="1" t="s">
        <v>99</v>
      </c>
      <c r="N632" s="11">
        <v>65</v>
      </c>
      <c r="O632" s="11">
        <v>16</v>
      </c>
      <c r="P632" s="11">
        <v>16</v>
      </c>
      <c r="Q632" s="11">
        <v>33</v>
      </c>
      <c r="R632" s="5">
        <f t="shared" si="36"/>
        <v>0.49230769230769234</v>
      </c>
      <c r="S632" s="13" t="str">
        <f t="shared" si="37"/>
        <v>=&lt;50</v>
      </c>
      <c r="T632" s="14">
        <f t="shared" si="38"/>
        <v>3</v>
      </c>
      <c r="U632" s="14">
        <f t="shared" si="39"/>
        <v>1.5</v>
      </c>
    </row>
    <row r="633" spans="1:21" x14ac:dyDescent="0.25">
      <c r="A633" s="1">
        <v>62530113</v>
      </c>
      <c r="B633" s="1">
        <v>220910</v>
      </c>
      <c r="C633" s="1" t="s">
        <v>1132</v>
      </c>
      <c r="D633" s="1" t="s">
        <v>1201</v>
      </c>
      <c r="E633" s="1" t="s">
        <v>1202</v>
      </c>
      <c r="F633" s="1" t="s">
        <v>76</v>
      </c>
      <c r="G633" s="1" t="s">
        <v>23</v>
      </c>
      <c r="H633" s="1" t="s">
        <v>19</v>
      </c>
      <c r="I633" s="1" t="s">
        <v>397</v>
      </c>
      <c r="J633" s="1" t="s">
        <v>398</v>
      </c>
      <c r="K633" s="1" t="str">
        <f>VLOOKUP(J633,'IU Major Match'!$D$2:$E$65,2,FALSE)</f>
        <v xml:space="preserve">Major exists in IU </v>
      </c>
      <c r="L633" s="1">
        <v>96171931869</v>
      </c>
      <c r="M633" s="1" t="s">
        <v>99</v>
      </c>
      <c r="N633" s="11">
        <v>99</v>
      </c>
      <c r="O633" s="11">
        <v>57</v>
      </c>
      <c r="P633" s="11">
        <v>9</v>
      </c>
      <c r="Q633" s="11">
        <v>34</v>
      </c>
      <c r="R633" s="5">
        <f t="shared" si="36"/>
        <v>0.66666666666666663</v>
      </c>
      <c r="S633" s="13" t="str">
        <f t="shared" si="37"/>
        <v>&gt;50</v>
      </c>
      <c r="T633" s="14">
        <f t="shared" si="38"/>
        <v>3</v>
      </c>
      <c r="U633" s="14">
        <f t="shared" si="39"/>
        <v>1.5</v>
      </c>
    </row>
    <row r="634" spans="1:21" x14ac:dyDescent="0.25">
      <c r="A634" s="1">
        <v>62430235</v>
      </c>
      <c r="B634" s="1">
        <v>214108</v>
      </c>
      <c r="C634" s="1" t="s">
        <v>1132</v>
      </c>
      <c r="D634" s="1" t="s">
        <v>119</v>
      </c>
      <c r="E634" s="1" t="s">
        <v>852</v>
      </c>
      <c r="F634" s="1" t="s">
        <v>76</v>
      </c>
      <c r="G634" s="1" t="s">
        <v>23</v>
      </c>
      <c r="H634" s="1" t="s">
        <v>19</v>
      </c>
      <c r="I634" s="1" t="s">
        <v>88</v>
      </c>
      <c r="J634" s="1" t="s">
        <v>89</v>
      </c>
      <c r="K634" s="1" t="str">
        <f>VLOOKUP(J634,'IU Major Match'!$D$2:$E$65,2,FALSE)</f>
        <v xml:space="preserve">Major exists in IU </v>
      </c>
      <c r="L634" s="1">
        <v>81363160</v>
      </c>
      <c r="M634" s="1" t="s">
        <v>113</v>
      </c>
      <c r="N634" s="11">
        <v>99</v>
      </c>
      <c r="O634" s="11">
        <v>43</v>
      </c>
      <c r="P634" s="11">
        <v>16</v>
      </c>
      <c r="Q634" s="11">
        <v>40</v>
      </c>
      <c r="R634" s="5">
        <f t="shared" si="36"/>
        <v>0.59595959595959591</v>
      </c>
      <c r="S634" s="13" t="str">
        <f t="shared" si="37"/>
        <v>&gt;50</v>
      </c>
      <c r="T634" s="14">
        <f t="shared" si="38"/>
        <v>3</v>
      </c>
      <c r="U634" s="14">
        <f t="shared" si="39"/>
        <v>1.5</v>
      </c>
    </row>
    <row r="635" spans="1:21" x14ac:dyDescent="0.25">
      <c r="A635" s="1">
        <v>62130254</v>
      </c>
      <c r="B635" s="1">
        <v>171267</v>
      </c>
      <c r="C635" s="1" t="s">
        <v>1132</v>
      </c>
      <c r="D635" s="1" t="s">
        <v>214</v>
      </c>
      <c r="E635" s="1" t="s">
        <v>325</v>
      </c>
      <c r="F635" s="1" t="s">
        <v>76</v>
      </c>
      <c r="G635" s="1" t="s">
        <v>23</v>
      </c>
      <c r="H635" s="1" t="s">
        <v>19</v>
      </c>
      <c r="I635" s="1" t="s">
        <v>250</v>
      </c>
      <c r="J635" s="1" t="s">
        <v>251</v>
      </c>
      <c r="K635" s="1" t="str">
        <f>VLOOKUP(J635,'IU Major Match'!$D$2:$E$65,2,FALSE)</f>
        <v xml:space="preserve">Major exists in IU </v>
      </c>
      <c r="L635" s="1">
        <v>71672145</v>
      </c>
      <c r="M635" s="1" t="s">
        <v>79</v>
      </c>
      <c r="N635" s="11">
        <v>99</v>
      </c>
      <c r="O635" s="11">
        <v>42</v>
      </c>
      <c r="P635" s="11">
        <v>9</v>
      </c>
      <c r="Q635" s="11">
        <v>48</v>
      </c>
      <c r="R635" s="5">
        <f t="shared" si="36"/>
        <v>0.51515151515151514</v>
      </c>
      <c r="S635" s="13" t="str">
        <f t="shared" si="37"/>
        <v>&gt;50</v>
      </c>
      <c r="T635" s="14">
        <f t="shared" si="38"/>
        <v>4</v>
      </c>
      <c r="U635" s="14">
        <f t="shared" si="39"/>
        <v>2</v>
      </c>
    </row>
    <row r="636" spans="1:21" x14ac:dyDescent="0.25">
      <c r="A636" s="1">
        <v>62430074</v>
      </c>
      <c r="B636" s="1">
        <v>209732</v>
      </c>
      <c r="C636" s="1" t="s">
        <v>1132</v>
      </c>
      <c r="D636" s="1" t="s">
        <v>296</v>
      </c>
      <c r="E636" s="1" t="s">
        <v>1203</v>
      </c>
      <c r="F636" s="1" t="s">
        <v>76</v>
      </c>
      <c r="G636" s="1" t="s">
        <v>23</v>
      </c>
      <c r="H636" s="1" t="s">
        <v>19</v>
      </c>
      <c r="I636" s="1" t="s">
        <v>116</v>
      </c>
      <c r="J636" s="1" t="s">
        <v>117</v>
      </c>
      <c r="K636" s="1" t="str">
        <f>VLOOKUP(J636,'IU Major Match'!$D$2:$E$65,2,FALSE)</f>
        <v>Major Dont exists in IU</v>
      </c>
      <c r="L636" s="1">
        <v>96170068607</v>
      </c>
      <c r="M636" s="1" t="s">
        <v>113</v>
      </c>
      <c r="N636" s="11">
        <v>99</v>
      </c>
      <c r="O636" s="11">
        <v>38</v>
      </c>
      <c r="P636" s="11">
        <v>15</v>
      </c>
      <c r="Q636" s="11">
        <v>46</v>
      </c>
      <c r="R636" s="5">
        <f t="shared" si="36"/>
        <v>0.53535353535353536</v>
      </c>
      <c r="S636" s="13" t="str">
        <f t="shared" si="37"/>
        <v>&gt;50</v>
      </c>
      <c r="T636" s="14">
        <f t="shared" si="38"/>
        <v>4</v>
      </c>
      <c r="U636" s="14">
        <f t="shared" si="39"/>
        <v>2</v>
      </c>
    </row>
    <row r="637" spans="1:21" x14ac:dyDescent="0.25">
      <c r="A637" s="1">
        <v>62510014</v>
      </c>
      <c r="B637" s="1">
        <v>217802</v>
      </c>
      <c r="C637" s="1" t="s">
        <v>956</v>
      </c>
      <c r="D637" s="1" t="s">
        <v>1204</v>
      </c>
      <c r="E637" s="1" t="s">
        <v>1205</v>
      </c>
      <c r="F637" s="1" t="s">
        <v>76</v>
      </c>
      <c r="G637" s="1" t="s">
        <v>93</v>
      </c>
      <c r="H637" s="1" t="s">
        <v>19</v>
      </c>
      <c r="I637" s="1" t="s">
        <v>216</v>
      </c>
      <c r="J637" s="1" t="s">
        <v>217</v>
      </c>
      <c r="K637" s="1" t="str">
        <f>VLOOKUP(J637,'IU Major Match'!$D$2:$E$65,2,FALSE)</f>
        <v xml:space="preserve">Major exists in IU </v>
      </c>
      <c r="L637" s="1">
        <v>96181729428</v>
      </c>
      <c r="M637" s="1" t="s">
        <v>242</v>
      </c>
      <c r="N637" s="11">
        <v>99</v>
      </c>
      <c r="O637" s="11">
        <v>18</v>
      </c>
      <c r="P637" s="11">
        <v>13</v>
      </c>
      <c r="Q637" s="11">
        <v>72</v>
      </c>
      <c r="R637" s="5">
        <f t="shared" si="36"/>
        <v>0.31313131313131315</v>
      </c>
      <c r="S637" s="13" t="str">
        <f t="shared" si="37"/>
        <v>=&lt;50</v>
      </c>
      <c r="T637" s="14">
        <f t="shared" si="38"/>
        <v>5</v>
      </c>
      <c r="U637" s="14">
        <f t="shared" si="39"/>
        <v>2.5</v>
      </c>
    </row>
    <row r="638" spans="1:21" x14ac:dyDescent="0.25">
      <c r="A638" s="1">
        <v>62610025</v>
      </c>
      <c r="B638" s="1">
        <v>227388</v>
      </c>
      <c r="C638" s="1" t="s">
        <v>1206</v>
      </c>
      <c r="D638" s="1" t="s">
        <v>426</v>
      </c>
      <c r="E638" s="1" t="s">
        <v>1207</v>
      </c>
      <c r="F638" s="1" t="s">
        <v>76</v>
      </c>
      <c r="G638" s="1" t="s">
        <v>93</v>
      </c>
      <c r="H638" s="1" t="s">
        <v>19</v>
      </c>
      <c r="I638" s="1" t="s">
        <v>138</v>
      </c>
      <c r="J638" s="1" t="s">
        <v>139</v>
      </c>
      <c r="K638" s="1" t="str">
        <f>VLOOKUP(J638,'IU Major Match'!$D$2:$E$65,2,FALSE)</f>
        <v xml:space="preserve">Major exists in IU </v>
      </c>
      <c r="L638" s="1">
        <v>96176139939</v>
      </c>
      <c r="M638" s="1" t="s">
        <v>84</v>
      </c>
      <c r="N638" s="11">
        <v>99</v>
      </c>
      <c r="O638" s="11">
        <v>0</v>
      </c>
      <c r="P638" s="11">
        <v>12</v>
      </c>
      <c r="Q638" s="11">
        <v>96</v>
      </c>
      <c r="R638" s="5">
        <f t="shared" si="36"/>
        <v>0.12121212121212122</v>
      </c>
      <c r="S638" s="13" t="str">
        <f t="shared" si="37"/>
        <v>=&lt;50</v>
      </c>
      <c r="T638" s="14">
        <f t="shared" si="38"/>
        <v>7</v>
      </c>
      <c r="U638" s="14">
        <f t="shared" si="39"/>
        <v>3.5</v>
      </c>
    </row>
    <row r="639" spans="1:21" x14ac:dyDescent="0.25">
      <c r="A639" s="1">
        <v>62130163</v>
      </c>
      <c r="B639" s="1">
        <v>168621</v>
      </c>
      <c r="C639" s="1" t="s">
        <v>1208</v>
      </c>
      <c r="D639" s="1" t="s">
        <v>513</v>
      </c>
      <c r="E639" s="1" t="s">
        <v>1209</v>
      </c>
      <c r="F639" s="1" t="s">
        <v>76</v>
      </c>
      <c r="G639" s="1" t="s">
        <v>93</v>
      </c>
      <c r="H639" s="1" t="s">
        <v>19</v>
      </c>
      <c r="I639" s="1" t="s">
        <v>111</v>
      </c>
      <c r="J639" s="1" t="s">
        <v>112</v>
      </c>
      <c r="K639" s="1" t="str">
        <f>VLOOKUP(J639,'IU Major Match'!$D$2:$E$65,2,FALSE)</f>
        <v xml:space="preserve">Major exists in IU </v>
      </c>
      <c r="L639" s="1">
        <v>71643312</v>
      </c>
      <c r="M639" s="1" t="s">
        <v>79</v>
      </c>
      <c r="N639" s="11">
        <v>99</v>
      </c>
      <c r="O639" s="11">
        <v>84</v>
      </c>
      <c r="P639" s="11">
        <v>15</v>
      </c>
      <c r="Q639" s="11">
        <v>0</v>
      </c>
      <c r="R639" s="5">
        <f t="shared" si="36"/>
        <v>1</v>
      </c>
      <c r="S639" s="13" t="str">
        <f t="shared" si="37"/>
        <v>&gt;50</v>
      </c>
      <c r="T639" s="14">
        <f t="shared" si="38"/>
        <v>0</v>
      </c>
      <c r="U639" s="14">
        <f t="shared" si="39"/>
        <v>0</v>
      </c>
    </row>
    <row r="640" spans="1:21" x14ac:dyDescent="0.25">
      <c r="A640" s="1">
        <v>62610031</v>
      </c>
      <c r="B640" s="1">
        <v>227726</v>
      </c>
      <c r="C640" s="1" t="s">
        <v>1210</v>
      </c>
      <c r="D640" s="1" t="s">
        <v>325</v>
      </c>
      <c r="E640" s="1" t="s">
        <v>1075</v>
      </c>
      <c r="F640" s="1" t="s">
        <v>76</v>
      </c>
      <c r="G640" s="1" t="s">
        <v>93</v>
      </c>
      <c r="H640" s="1" t="s">
        <v>19</v>
      </c>
      <c r="I640" s="1" t="s">
        <v>138</v>
      </c>
      <c r="J640" s="1" t="s">
        <v>139</v>
      </c>
      <c r="K640" s="1" t="str">
        <f>VLOOKUP(J640,'IU Major Match'!$D$2:$E$65,2,FALSE)</f>
        <v xml:space="preserve">Major exists in IU </v>
      </c>
      <c r="L640" s="1">
        <v>96171660417</v>
      </c>
      <c r="M640" s="1" t="s">
        <v>84</v>
      </c>
      <c r="N640" s="11">
        <v>99</v>
      </c>
      <c r="O640" s="11">
        <v>9</v>
      </c>
      <c r="P640" s="11">
        <v>12</v>
      </c>
      <c r="Q640" s="11">
        <v>78</v>
      </c>
      <c r="R640" s="5">
        <f t="shared" si="36"/>
        <v>0.21212121212121213</v>
      </c>
      <c r="S640" s="13" t="str">
        <f t="shared" si="37"/>
        <v>=&lt;50</v>
      </c>
      <c r="T640" s="14">
        <f t="shared" si="38"/>
        <v>6</v>
      </c>
      <c r="U640" s="14">
        <f t="shared" si="39"/>
        <v>3</v>
      </c>
    </row>
    <row r="641" spans="1:21" x14ac:dyDescent="0.25">
      <c r="A641" s="1">
        <v>62230384</v>
      </c>
      <c r="B641" s="1">
        <v>218091</v>
      </c>
      <c r="C641" s="1" t="s">
        <v>1211</v>
      </c>
      <c r="D641" s="1" t="s">
        <v>42</v>
      </c>
      <c r="E641" s="1" t="s">
        <v>1212</v>
      </c>
      <c r="F641" s="1" t="s">
        <v>76</v>
      </c>
      <c r="G641" s="1" t="s">
        <v>18</v>
      </c>
      <c r="H641" s="1" t="s">
        <v>19</v>
      </c>
      <c r="I641" s="1" t="s">
        <v>1213</v>
      </c>
      <c r="J641" s="1" t="s">
        <v>1214</v>
      </c>
      <c r="K641" s="1" t="str">
        <f>VLOOKUP(J641,'IU Major Match'!$D$2:$E$65,2,FALSE)</f>
        <v>Can be Transferred to Bachelor of Engineering</v>
      </c>
      <c r="L641" s="1">
        <v>96171223239</v>
      </c>
      <c r="M641" s="1" t="s">
        <v>242</v>
      </c>
      <c r="N641" s="11">
        <v>108</v>
      </c>
      <c r="O641" s="11">
        <v>43</v>
      </c>
      <c r="P641" s="11">
        <v>13</v>
      </c>
      <c r="Q641" s="11">
        <v>52</v>
      </c>
      <c r="R641" s="5">
        <f t="shared" si="36"/>
        <v>0.51851851851851849</v>
      </c>
      <c r="S641" s="13" t="str">
        <f t="shared" si="37"/>
        <v>&gt;50</v>
      </c>
      <c r="T641" s="14">
        <f t="shared" si="38"/>
        <v>4</v>
      </c>
      <c r="U641" s="14">
        <f t="shared" si="39"/>
        <v>2</v>
      </c>
    </row>
    <row r="642" spans="1:21" x14ac:dyDescent="0.25">
      <c r="A642" s="1">
        <v>62030403</v>
      </c>
      <c r="B642" s="1">
        <v>163079</v>
      </c>
      <c r="C642" s="1" t="s">
        <v>376</v>
      </c>
      <c r="D642" s="1" t="s">
        <v>1016</v>
      </c>
      <c r="E642" s="1" t="s">
        <v>1215</v>
      </c>
      <c r="F642" s="1" t="s">
        <v>76</v>
      </c>
      <c r="G642" s="1" t="s">
        <v>93</v>
      </c>
      <c r="H642" s="1" t="s">
        <v>19</v>
      </c>
      <c r="I642" s="1" t="s">
        <v>107</v>
      </c>
      <c r="J642" s="1" t="s">
        <v>108</v>
      </c>
      <c r="K642" s="1" t="str">
        <f>VLOOKUP(J642,'IU Major Match'!$D$2:$E$65,2,FALSE)</f>
        <v xml:space="preserve">Major exists in IU </v>
      </c>
      <c r="L642" s="1">
        <v>70312413</v>
      </c>
      <c r="M642" s="1" t="s">
        <v>51</v>
      </c>
      <c r="N642" s="11">
        <v>99</v>
      </c>
      <c r="O642" s="11">
        <v>72</v>
      </c>
      <c r="P642" s="11">
        <v>9</v>
      </c>
      <c r="Q642" s="11">
        <v>18</v>
      </c>
      <c r="R642" s="5">
        <f t="shared" si="36"/>
        <v>0.81818181818181823</v>
      </c>
      <c r="S642" s="13" t="str">
        <f t="shared" si="37"/>
        <v>&gt;50</v>
      </c>
      <c r="T642" s="14">
        <f t="shared" si="38"/>
        <v>2</v>
      </c>
      <c r="U642" s="14">
        <f t="shared" si="39"/>
        <v>1</v>
      </c>
    </row>
    <row r="643" spans="1:21" x14ac:dyDescent="0.25">
      <c r="A643" s="1">
        <v>62330115</v>
      </c>
      <c r="B643" s="1">
        <v>199889</v>
      </c>
      <c r="C643" s="1" t="s">
        <v>1216</v>
      </c>
      <c r="D643" s="1" t="s">
        <v>92</v>
      </c>
      <c r="E643" s="1" t="s">
        <v>1217</v>
      </c>
      <c r="F643" s="1" t="s">
        <v>76</v>
      </c>
      <c r="G643" s="1" t="s">
        <v>23</v>
      </c>
      <c r="H643" s="1" t="s">
        <v>19</v>
      </c>
      <c r="I643" s="1" t="s">
        <v>151</v>
      </c>
      <c r="J643" s="1" t="s">
        <v>152</v>
      </c>
      <c r="K643" s="1" t="str">
        <f>VLOOKUP(J643,'IU Major Match'!$D$2:$E$65,2,FALSE)</f>
        <v>Major Dont exists in IU</v>
      </c>
      <c r="L643" s="1">
        <v>76548655</v>
      </c>
      <c r="M643" s="1" t="s">
        <v>90</v>
      </c>
      <c r="N643" s="11">
        <v>105</v>
      </c>
      <c r="O643" s="11">
        <v>64</v>
      </c>
      <c r="P643" s="11">
        <v>15</v>
      </c>
      <c r="Q643" s="11">
        <v>26</v>
      </c>
      <c r="R643" s="5">
        <f t="shared" ref="R643:R706" si="40">(O643+P643)/N643</f>
        <v>0.75238095238095237</v>
      </c>
      <c r="S643" s="13" t="str">
        <f t="shared" ref="S643:S706" si="41">IF(R643&lt;=50%,"=&lt;50","&gt;50")</f>
        <v>&gt;50</v>
      </c>
      <c r="T643" s="14">
        <f t="shared" ref="T643:T706" si="42">ROUNDUP(Q643/15,0)</f>
        <v>2</v>
      </c>
      <c r="U643" s="14">
        <f t="shared" ref="U643:U706" si="43">T643/2</f>
        <v>1</v>
      </c>
    </row>
    <row r="644" spans="1:21" x14ac:dyDescent="0.25">
      <c r="A644" s="1">
        <v>62330223</v>
      </c>
      <c r="B644" s="1">
        <v>203662</v>
      </c>
      <c r="C644" s="1" t="s">
        <v>1218</v>
      </c>
      <c r="D644" s="1" t="s">
        <v>1219</v>
      </c>
      <c r="E644" s="1" t="s">
        <v>1220</v>
      </c>
      <c r="F644" s="1" t="s">
        <v>76</v>
      </c>
      <c r="G644" s="1" t="s">
        <v>93</v>
      </c>
      <c r="H644" s="1" t="s">
        <v>19</v>
      </c>
      <c r="I644" s="1" t="s">
        <v>168</v>
      </c>
      <c r="J644" s="1" t="s">
        <v>169</v>
      </c>
      <c r="K644" s="1" t="str">
        <f>VLOOKUP(J644,'IU Major Match'!$D$2:$E$65,2,FALSE)</f>
        <v>Major Dont exists in IU</v>
      </c>
      <c r="L644" s="1">
        <v>96181845142</v>
      </c>
      <c r="M644" s="1" t="s">
        <v>90</v>
      </c>
      <c r="N644" s="11">
        <v>99</v>
      </c>
      <c r="O644" s="11">
        <v>69</v>
      </c>
      <c r="P644" s="11">
        <v>15</v>
      </c>
      <c r="Q644" s="11">
        <v>15</v>
      </c>
      <c r="R644" s="5">
        <f t="shared" si="40"/>
        <v>0.84848484848484851</v>
      </c>
      <c r="S644" s="13" t="str">
        <f t="shared" si="41"/>
        <v>&gt;50</v>
      </c>
      <c r="T644" s="14">
        <f t="shared" si="42"/>
        <v>1</v>
      </c>
      <c r="U644" s="14">
        <f t="shared" si="43"/>
        <v>0.5</v>
      </c>
    </row>
    <row r="645" spans="1:21" x14ac:dyDescent="0.25">
      <c r="A645" s="1">
        <v>61730111</v>
      </c>
      <c r="B645" s="1">
        <v>117653</v>
      </c>
      <c r="C645" s="1" t="s">
        <v>1221</v>
      </c>
      <c r="D645" s="1" t="s">
        <v>716</v>
      </c>
      <c r="E645" s="1" t="s">
        <v>1222</v>
      </c>
      <c r="F645" s="1" t="s">
        <v>76</v>
      </c>
      <c r="G645" s="1" t="s">
        <v>18</v>
      </c>
      <c r="H645" s="1" t="s">
        <v>19</v>
      </c>
      <c r="I645" s="1" t="s">
        <v>82</v>
      </c>
      <c r="J645" s="1" t="s">
        <v>83</v>
      </c>
      <c r="K645" s="1" t="str">
        <f>VLOOKUP(J645,'IU Major Match'!$D$2:$E$65,2,FALSE)</f>
        <v>Can be Transferred to Bachelor of Engineering</v>
      </c>
      <c r="L645" s="1">
        <v>96171707749</v>
      </c>
      <c r="M645" s="1" t="s">
        <v>22</v>
      </c>
      <c r="N645" s="11">
        <v>108</v>
      </c>
      <c r="O645" s="11">
        <v>96</v>
      </c>
      <c r="P645" s="11">
        <v>12</v>
      </c>
      <c r="Q645" s="11">
        <v>0</v>
      </c>
      <c r="R645" s="5">
        <f t="shared" si="40"/>
        <v>1</v>
      </c>
      <c r="S645" s="13" t="str">
        <f t="shared" si="41"/>
        <v>&gt;50</v>
      </c>
      <c r="T645" s="14">
        <f t="shared" si="42"/>
        <v>0</v>
      </c>
      <c r="U645" s="14">
        <f t="shared" si="43"/>
        <v>0</v>
      </c>
    </row>
    <row r="646" spans="1:21" x14ac:dyDescent="0.25">
      <c r="A646" s="1">
        <v>62330245</v>
      </c>
      <c r="B646" s="1">
        <v>203619</v>
      </c>
      <c r="C646" s="1" t="s">
        <v>1221</v>
      </c>
      <c r="D646" s="1" t="s">
        <v>190</v>
      </c>
      <c r="E646" s="1" t="s">
        <v>654</v>
      </c>
      <c r="F646" s="1" t="s">
        <v>76</v>
      </c>
      <c r="G646" s="1" t="s">
        <v>93</v>
      </c>
      <c r="H646" s="1" t="s">
        <v>19</v>
      </c>
      <c r="I646" s="1" t="s">
        <v>111</v>
      </c>
      <c r="J646" s="1" t="s">
        <v>112</v>
      </c>
      <c r="K646" s="1" t="str">
        <f>VLOOKUP(J646,'IU Major Match'!$D$2:$E$65,2,FALSE)</f>
        <v xml:space="preserve">Major exists in IU </v>
      </c>
      <c r="L646" s="1">
        <v>71083713</v>
      </c>
      <c r="M646" s="1" t="s">
        <v>90</v>
      </c>
      <c r="N646" s="11">
        <v>99</v>
      </c>
      <c r="O646" s="11">
        <v>90</v>
      </c>
      <c r="P646" s="11">
        <v>9</v>
      </c>
      <c r="Q646" s="11">
        <v>0</v>
      </c>
      <c r="R646" s="5">
        <f t="shared" si="40"/>
        <v>1</v>
      </c>
      <c r="S646" s="13" t="str">
        <f t="shared" si="41"/>
        <v>&gt;50</v>
      </c>
      <c r="T646" s="14">
        <f t="shared" si="42"/>
        <v>0</v>
      </c>
      <c r="U646" s="14">
        <f t="shared" si="43"/>
        <v>0</v>
      </c>
    </row>
    <row r="647" spans="1:21" x14ac:dyDescent="0.25">
      <c r="A647" s="1">
        <v>62230185</v>
      </c>
      <c r="B647" s="1">
        <v>188712</v>
      </c>
      <c r="C647" s="1" t="s">
        <v>1223</v>
      </c>
      <c r="D647" s="1" t="s">
        <v>15</v>
      </c>
      <c r="E647" s="1" t="s">
        <v>863</v>
      </c>
      <c r="F647" s="1" t="s">
        <v>76</v>
      </c>
      <c r="G647" s="1" t="s">
        <v>18</v>
      </c>
      <c r="H647" s="1" t="s">
        <v>19</v>
      </c>
      <c r="I647" s="1" t="s">
        <v>82</v>
      </c>
      <c r="J647" s="1" t="s">
        <v>83</v>
      </c>
      <c r="K647" s="1" t="str">
        <f>VLOOKUP(J647,'IU Major Match'!$D$2:$E$65,2,FALSE)</f>
        <v>Can be Transferred to Bachelor of Engineering</v>
      </c>
      <c r="L647" s="1">
        <v>81349033</v>
      </c>
      <c r="M647" s="1" t="s">
        <v>153</v>
      </c>
      <c r="N647" s="11">
        <v>108</v>
      </c>
      <c r="O647" s="11">
        <v>91</v>
      </c>
      <c r="P647" s="11">
        <v>17</v>
      </c>
      <c r="Q647" s="11">
        <v>0</v>
      </c>
      <c r="R647" s="5">
        <f t="shared" si="40"/>
        <v>1</v>
      </c>
      <c r="S647" s="13" t="str">
        <f t="shared" si="41"/>
        <v>&gt;50</v>
      </c>
      <c r="T647" s="14">
        <f t="shared" si="42"/>
        <v>0</v>
      </c>
      <c r="U647" s="14">
        <f t="shared" si="43"/>
        <v>0</v>
      </c>
    </row>
    <row r="648" spans="1:21" x14ac:dyDescent="0.25">
      <c r="A648" s="1">
        <v>62230405</v>
      </c>
      <c r="B648" s="1">
        <v>193847</v>
      </c>
      <c r="C648" s="1" t="s">
        <v>1006</v>
      </c>
      <c r="D648" s="1" t="s">
        <v>225</v>
      </c>
      <c r="E648" s="1" t="s">
        <v>1224</v>
      </c>
      <c r="F648" s="1" t="s">
        <v>76</v>
      </c>
      <c r="G648" s="1" t="s">
        <v>93</v>
      </c>
      <c r="H648" s="1" t="s">
        <v>19</v>
      </c>
      <c r="I648" s="1" t="s">
        <v>94</v>
      </c>
      <c r="J648" s="1" t="s">
        <v>95</v>
      </c>
      <c r="K648" s="1" t="str">
        <f>VLOOKUP(J648,'IU Major Match'!$D$2:$E$65,2,FALSE)</f>
        <v xml:space="preserve">Major exists in IU </v>
      </c>
      <c r="L648" s="1">
        <v>81298769</v>
      </c>
      <c r="M648" s="1" t="s">
        <v>153</v>
      </c>
      <c r="N648" s="11">
        <v>99</v>
      </c>
      <c r="O648" s="11">
        <v>69</v>
      </c>
      <c r="P648" s="11">
        <v>15</v>
      </c>
      <c r="Q648" s="11">
        <v>15</v>
      </c>
      <c r="R648" s="5">
        <f t="shared" si="40"/>
        <v>0.84848484848484851</v>
      </c>
      <c r="S648" s="13" t="str">
        <f t="shared" si="41"/>
        <v>&gt;50</v>
      </c>
      <c r="T648" s="14">
        <f t="shared" si="42"/>
        <v>1</v>
      </c>
      <c r="U648" s="14">
        <f t="shared" si="43"/>
        <v>0.5</v>
      </c>
    </row>
    <row r="649" spans="1:21" x14ac:dyDescent="0.25">
      <c r="A649" s="1">
        <v>62430012</v>
      </c>
      <c r="B649" s="1">
        <v>209302</v>
      </c>
      <c r="C649" s="1" t="s">
        <v>1225</v>
      </c>
      <c r="D649" s="1" t="s">
        <v>1226</v>
      </c>
      <c r="E649" s="1" t="s">
        <v>1227</v>
      </c>
      <c r="F649" s="1" t="s">
        <v>76</v>
      </c>
      <c r="G649" s="1" t="s">
        <v>23</v>
      </c>
      <c r="H649" s="1" t="s">
        <v>19</v>
      </c>
      <c r="I649" s="1" t="s">
        <v>103</v>
      </c>
      <c r="J649" s="1" t="s">
        <v>104</v>
      </c>
      <c r="K649" s="1" t="str">
        <f>VLOOKUP(J649,'IU Major Match'!$D$2:$E$65,2,FALSE)</f>
        <v xml:space="preserve">Major exists in IU </v>
      </c>
      <c r="L649" s="1">
        <v>96181758870</v>
      </c>
      <c r="M649" s="1" t="s">
        <v>113</v>
      </c>
      <c r="N649" s="11">
        <v>100</v>
      </c>
      <c r="O649" s="11">
        <v>47</v>
      </c>
      <c r="P649" s="11">
        <v>18</v>
      </c>
      <c r="Q649" s="11">
        <v>35</v>
      </c>
      <c r="R649" s="5">
        <f t="shared" si="40"/>
        <v>0.65</v>
      </c>
      <c r="S649" s="13" t="str">
        <f t="shared" si="41"/>
        <v>&gt;50</v>
      </c>
      <c r="T649" s="14">
        <f t="shared" si="42"/>
        <v>3</v>
      </c>
      <c r="U649" s="14">
        <f t="shared" si="43"/>
        <v>1.5</v>
      </c>
    </row>
    <row r="650" spans="1:21" x14ac:dyDescent="0.25">
      <c r="A650" s="1">
        <v>62230211</v>
      </c>
      <c r="B650" s="1">
        <v>188619</v>
      </c>
      <c r="C650" s="1" t="s">
        <v>1228</v>
      </c>
      <c r="D650" s="1" t="s">
        <v>569</v>
      </c>
      <c r="E650" s="1" t="s">
        <v>904</v>
      </c>
      <c r="F650" s="1" t="s">
        <v>76</v>
      </c>
      <c r="G650" s="1" t="s">
        <v>93</v>
      </c>
      <c r="H650" s="1" t="s">
        <v>19</v>
      </c>
      <c r="I650" s="1" t="s">
        <v>168</v>
      </c>
      <c r="J650" s="1" t="s">
        <v>169</v>
      </c>
      <c r="K650" s="1" t="str">
        <f>VLOOKUP(J650,'IU Major Match'!$D$2:$E$65,2,FALSE)</f>
        <v>Major Dont exists in IU</v>
      </c>
      <c r="L650" s="1">
        <v>81422710</v>
      </c>
      <c r="M650" s="1" t="s">
        <v>153</v>
      </c>
      <c r="N650" s="11">
        <v>99</v>
      </c>
      <c r="O650" s="11">
        <v>78</v>
      </c>
      <c r="P650" s="11">
        <v>21</v>
      </c>
      <c r="Q650" s="11">
        <v>0</v>
      </c>
      <c r="R650" s="5">
        <f t="shared" si="40"/>
        <v>1</v>
      </c>
      <c r="S650" s="13" t="str">
        <f t="shared" si="41"/>
        <v>&gt;50</v>
      </c>
      <c r="T650" s="14">
        <f t="shared" si="42"/>
        <v>0</v>
      </c>
      <c r="U650" s="14">
        <f t="shared" si="43"/>
        <v>0</v>
      </c>
    </row>
    <row r="651" spans="1:21" x14ac:dyDescent="0.25">
      <c r="A651" s="1">
        <v>62430025</v>
      </c>
      <c r="B651" s="1">
        <v>226885</v>
      </c>
      <c r="C651" s="1" t="s">
        <v>1228</v>
      </c>
      <c r="D651" s="1" t="s">
        <v>509</v>
      </c>
      <c r="E651" s="1" t="s">
        <v>1036</v>
      </c>
      <c r="F651" s="1" t="s">
        <v>76</v>
      </c>
      <c r="G651" s="1" t="s">
        <v>23</v>
      </c>
      <c r="H651" s="1" t="s">
        <v>19</v>
      </c>
      <c r="I651" s="1" t="s">
        <v>250</v>
      </c>
      <c r="J651" s="1" t="s">
        <v>251</v>
      </c>
      <c r="K651" s="1" t="str">
        <f>VLOOKUP(J651,'IU Major Match'!$D$2:$E$65,2,FALSE)</f>
        <v xml:space="preserve">Major exists in IU </v>
      </c>
      <c r="L651" s="1">
        <v>9613729923</v>
      </c>
      <c r="M651" s="1" t="s">
        <v>99</v>
      </c>
      <c r="N651" s="11">
        <v>99</v>
      </c>
      <c r="O651" s="11">
        <v>15</v>
      </c>
      <c r="P651" s="11">
        <v>15</v>
      </c>
      <c r="Q651" s="11">
        <v>3</v>
      </c>
      <c r="R651" s="5">
        <f t="shared" si="40"/>
        <v>0.30303030303030304</v>
      </c>
      <c r="S651" s="13" t="str">
        <f t="shared" si="41"/>
        <v>=&lt;50</v>
      </c>
      <c r="T651" s="14">
        <f t="shared" si="42"/>
        <v>1</v>
      </c>
      <c r="U651" s="14">
        <f t="shared" si="43"/>
        <v>0.5</v>
      </c>
    </row>
    <row r="652" spans="1:21" x14ac:dyDescent="0.25">
      <c r="A652" s="1">
        <v>62530215</v>
      </c>
      <c r="B652" s="1">
        <v>224007</v>
      </c>
      <c r="C652" s="1" t="s">
        <v>1228</v>
      </c>
      <c r="D652" s="1" t="s">
        <v>1229</v>
      </c>
      <c r="E652" s="1" t="s">
        <v>1229</v>
      </c>
      <c r="F652" s="1" t="s">
        <v>76</v>
      </c>
      <c r="G652" s="1" t="s">
        <v>93</v>
      </c>
      <c r="H652" s="1" t="s">
        <v>19</v>
      </c>
      <c r="I652" s="1" t="s">
        <v>138</v>
      </c>
      <c r="J652" s="1" t="s">
        <v>139</v>
      </c>
      <c r="K652" s="1" t="str">
        <f>VLOOKUP(J652,'IU Major Match'!$D$2:$E$65,2,FALSE)</f>
        <v xml:space="preserve">Major exists in IU </v>
      </c>
      <c r="L652" s="1">
        <v>96181737237</v>
      </c>
      <c r="M652" s="1" t="s">
        <v>99</v>
      </c>
      <c r="N652" s="11">
        <v>99</v>
      </c>
      <c r="O652" s="11">
        <v>0</v>
      </c>
      <c r="P652" s="11">
        <v>12</v>
      </c>
      <c r="Q652" s="11">
        <v>96</v>
      </c>
      <c r="R652" s="5">
        <f t="shared" si="40"/>
        <v>0.12121212121212122</v>
      </c>
      <c r="S652" s="13" t="str">
        <f t="shared" si="41"/>
        <v>=&lt;50</v>
      </c>
      <c r="T652" s="14">
        <f t="shared" si="42"/>
        <v>7</v>
      </c>
      <c r="U652" s="14">
        <f t="shared" si="43"/>
        <v>3.5</v>
      </c>
    </row>
    <row r="653" spans="1:21" x14ac:dyDescent="0.25">
      <c r="A653" s="1">
        <v>62030346</v>
      </c>
      <c r="B653" s="1">
        <v>159836</v>
      </c>
      <c r="C653" s="1" t="s">
        <v>1228</v>
      </c>
      <c r="D653" s="1" t="s">
        <v>190</v>
      </c>
      <c r="E653" s="1" t="s">
        <v>1230</v>
      </c>
      <c r="F653" s="1" t="s">
        <v>76</v>
      </c>
      <c r="G653" s="1" t="s">
        <v>18</v>
      </c>
      <c r="H653" s="1" t="s">
        <v>19</v>
      </c>
      <c r="I653" s="1" t="s">
        <v>82</v>
      </c>
      <c r="J653" s="1" t="s">
        <v>83</v>
      </c>
      <c r="K653" s="1" t="str">
        <f>VLOOKUP(J653,'IU Major Match'!$D$2:$E$65,2,FALSE)</f>
        <v>Can be Transferred to Bachelor of Engineering</v>
      </c>
      <c r="L653" s="1">
        <v>71025340</v>
      </c>
      <c r="M653" s="1" t="s">
        <v>51</v>
      </c>
      <c r="N653" s="11">
        <v>108</v>
      </c>
      <c r="O653" s="11">
        <v>72</v>
      </c>
      <c r="P653" s="11">
        <v>8</v>
      </c>
      <c r="Q653" s="11">
        <v>28</v>
      </c>
      <c r="R653" s="5">
        <f t="shared" si="40"/>
        <v>0.7407407407407407</v>
      </c>
      <c r="S653" s="13" t="str">
        <f t="shared" si="41"/>
        <v>&gt;50</v>
      </c>
      <c r="T653" s="14">
        <f t="shared" si="42"/>
        <v>2</v>
      </c>
      <c r="U653" s="14">
        <f t="shared" si="43"/>
        <v>1</v>
      </c>
    </row>
    <row r="654" spans="1:21" x14ac:dyDescent="0.25">
      <c r="A654" s="1">
        <v>61930331</v>
      </c>
      <c r="B654" s="1">
        <v>146183</v>
      </c>
      <c r="C654" s="1" t="s">
        <v>1228</v>
      </c>
      <c r="D654" s="1" t="s">
        <v>741</v>
      </c>
      <c r="E654" s="1" t="s">
        <v>780</v>
      </c>
      <c r="F654" s="1" t="s">
        <v>76</v>
      </c>
      <c r="G654" s="1" t="s">
        <v>93</v>
      </c>
      <c r="H654" s="1" t="s">
        <v>19</v>
      </c>
      <c r="I654" s="1" t="s">
        <v>133</v>
      </c>
      <c r="J654" s="1" t="s">
        <v>134</v>
      </c>
      <c r="K654" s="1" t="str">
        <f>VLOOKUP(J654,'IU Major Match'!$D$2:$E$65,2,FALSE)</f>
        <v xml:space="preserve">Major exists in IU </v>
      </c>
      <c r="L654" s="1">
        <v>96176797391</v>
      </c>
      <c r="M654" s="1" t="s">
        <v>205</v>
      </c>
      <c r="N654" s="11">
        <v>99</v>
      </c>
      <c r="O654" s="11">
        <v>15</v>
      </c>
      <c r="P654" s="11">
        <v>9</v>
      </c>
      <c r="Q654" s="11">
        <v>75</v>
      </c>
      <c r="R654" s="5">
        <f t="shared" si="40"/>
        <v>0.24242424242424243</v>
      </c>
      <c r="S654" s="13" t="str">
        <f t="shared" si="41"/>
        <v>=&lt;50</v>
      </c>
      <c r="T654" s="14">
        <f t="shared" si="42"/>
        <v>5</v>
      </c>
      <c r="U654" s="14">
        <f t="shared" si="43"/>
        <v>2.5</v>
      </c>
    </row>
    <row r="655" spans="1:21" x14ac:dyDescent="0.25">
      <c r="A655" s="1">
        <v>62230036</v>
      </c>
      <c r="B655" s="1">
        <v>186429</v>
      </c>
      <c r="C655" s="1" t="s">
        <v>1228</v>
      </c>
      <c r="D655" s="1" t="s">
        <v>562</v>
      </c>
      <c r="E655" s="1" t="s">
        <v>1231</v>
      </c>
      <c r="F655" s="1" t="s">
        <v>76</v>
      </c>
      <c r="G655" s="1" t="s">
        <v>18</v>
      </c>
      <c r="H655" s="1" t="s">
        <v>19</v>
      </c>
      <c r="I655" s="1" t="s">
        <v>82</v>
      </c>
      <c r="J655" s="1" t="s">
        <v>83</v>
      </c>
      <c r="K655" s="1" t="str">
        <f>VLOOKUP(J655,'IU Major Match'!$D$2:$E$65,2,FALSE)</f>
        <v>Can be Transferred to Bachelor of Engineering</v>
      </c>
      <c r="L655" s="1">
        <v>96176083773</v>
      </c>
      <c r="M655" s="1" t="s">
        <v>153</v>
      </c>
      <c r="N655" s="11">
        <v>108</v>
      </c>
      <c r="O655" s="11">
        <v>91</v>
      </c>
      <c r="P655" s="11">
        <v>17</v>
      </c>
      <c r="Q655" s="11">
        <v>0</v>
      </c>
      <c r="R655" s="5">
        <f t="shared" si="40"/>
        <v>1</v>
      </c>
      <c r="S655" s="13" t="str">
        <f t="shared" si="41"/>
        <v>&gt;50</v>
      </c>
      <c r="T655" s="14">
        <f t="shared" si="42"/>
        <v>0</v>
      </c>
      <c r="U655" s="14">
        <f t="shared" si="43"/>
        <v>0</v>
      </c>
    </row>
    <row r="656" spans="1:21" x14ac:dyDescent="0.25">
      <c r="A656" s="1">
        <v>62430276</v>
      </c>
      <c r="B656" s="1">
        <v>215545</v>
      </c>
      <c r="C656" s="1" t="s">
        <v>1228</v>
      </c>
      <c r="D656" s="1" t="s">
        <v>198</v>
      </c>
      <c r="E656" s="1" t="s">
        <v>297</v>
      </c>
      <c r="F656" s="1" t="s">
        <v>76</v>
      </c>
      <c r="G656" s="1" t="s">
        <v>23</v>
      </c>
      <c r="H656" s="1" t="s">
        <v>19</v>
      </c>
      <c r="I656" s="1" t="s">
        <v>103</v>
      </c>
      <c r="J656" s="1" t="s">
        <v>104</v>
      </c>
      <c r="K656" s="1" t="str">
        <f>VLOOKUP(J656,'IU Major Match'!$D$2:$E$65,2,FALSE)</f>
        <v xml:space="preserve">Major exists in IU </v>
      </c>
      <c r="L656" s="1">
        <v>76177768</v>
      </c>
      <c r="M656" s="1" t="s">
        <v>113</v>
      </c>
      <c r="N656" s="11">
        <v>100</v>
      </c>
      <c r="O656" s="11">
        <v>84</v>
      </c>
      <c r="P656" s="11">
        <v>10</v>
      </c>
      <c r="Q656" s="11">
        <v>6</v>
      </c>
      <c r="R656" s="5">
        <f t="shared" si="40"/>
        <v>0.94</v>
      </c>
      <c r="S656" s="13" t="str">
        <f t="shared" si="41"/>
        <v>&gt;50</v>
      </c>
      <c r="T656" s="14">
        <f t="shared" si="42"/>
        <v>1</v>
      </c>
      <c r="U656" s="14">
        <f t="shared" si="43"/>
        <v>0.5</v>
      </c>
    </row>
    <row r="657" spans="1:21" x14ac:dyDescent="0.25">
      <c r="A657" s="1">
        <v>62330067</v>
      </c>
      <c r="B657" s="1">
        <v>198974</v>
      </c>
      <c r="C657" s="1" t="s">
        <v>1228</v>
      </c>
      <c r="D657" s="1" t="s">
        <v>296</v>
      </c>
      <c r="E657" s="1" t="s">
        <v>1232</v>
      </c>
      <c r="F657" s="1" t="s">
        <v>76</v>
      </c>
      <c r="G657" s="1" t="s">
        <v>93</v>
      </c>
      <c r="H657" s="1" t="s">
        <v>19</v>
      </c>
      <c r="I657" s="1" t="s">
        <v>168</v>
      </c>
      <c r="J657" s="1" t="s">
        <v>169</v>
      </c>
      <c r="K657" s="1" t="str">
        <f>VLOOKUP(J657,'IU Major Match'!$D$2:$E$65,2,FALSE)</f>
        <v>Major Dont exists in IU</v>
      </c>
      <c r="L657" s="1">
        <v>71995535</v>
      </c>
      <c r="M657" s="1" t="s">
        <v>90</v>
      </c>
      <c r="N657" s="11">
        <v>99</v>
      </c>
      <c r="O657" s="11">
        <v>72</v>
      </c>
      <c r="P657" s="11">
        <v>12</v>
      </c>
      <c r="Q657" s="11">
        <v>15</v>
      </c>
      <c r="R657" s="5">
        <f t="shared" si="40"/>
        <v>0.84848484848484851</v>
      </c>
      <c r="S657" s="13" t="str">
        <f t="shared" si="41"/>
        <v>&gt;50</v>
      </c>
      <c r="T657" s="14">
        <f t="shared" si="42"/>
        <v>1</v>
      </c>
      <c r="U657" s="14">
        <f t="shared" si="43"/>
        <v>0.5</v>
      </c>
    </row>
    <row r="658" spans="1:21" x14ac:dyDescent="0.25">
      <c r="A658" s="1">
        <v>62330065</v>
      </c>
      <c r="B658" s="1">
        <v>198968</v>
      </c>
      <c r="C658" s="1" t="s">
        <v>1233</v>
      </c>
      <c r="D658" s="1" t="s">
        <v>1234</v>
      </c>
      <c r="E658" s="1" t="s">
        <v>1235</v>
      </c>
      <c r="F658" s="1" t="s">
        <v>76</v>
      </c>
      <c r="G658" s="1" t="s">
        <v>93</v>
      </c>
      <c r="H658" s="1" t="s">
        <v>19</v>
      </c>
      <c r="I658" s="1" t="s">
        <v>107</v>
      </c>
      <c r="J658" s="1" t="s">
        <v>108</v>
      </c>
      <c r="K658" s="1" t="str">
        <f>VLOOKUP(J658,'IU Major Match'!$D$2:$E$65,2,FALSE)</f>
        <v xml:space="preserve">Major exists in IU </v>
      </c>
      <c r="L658" s="1">
        <v>76540352</v>
      </c>
      <c r="M658" s="1" t="s">
        <v>90</v>
      </c>
      <c r="N658" s="11">
        <v>99</v>
      </c>
      <c r="O658" s="11">
        <v>57</v>
      </c>
      <c r="P658" s="11">
        <v>18</v>
      </c>
      <c r="Q658" s="11">
        <v>24</v>
      </c>
      <c r="R658" s="5">
        <f t="shared" si="40"/>
        <v>0.75757575757575757</v>
      </c>
      <c r="S658" s="13" t="str">
        <f t="shared" si="41"/>
        <v>&gt;50</v>
      </c>
      <c r="T658" s="14">
        <f t="shared" si="42"/>
        <v>2</v>
      </c>
      <c r="U658" s="14">
        <f t="shared" si="43"/>
        <v>1</v>
      </c>
    </row>
    <row r="659" spans="1:21" x14ac:dyDescent="0.25">
      <c r="A659" s="1">
        <v>62430089</v>
      </c>
      <c r="B659" s="1">
        <v>210058</v>
      </c>
      <c r="C659" s="1" t="s">
        <v>1236</v>
      </c>
      <c r="D659" s="1" t="s">
        <v>447</v>
      </c>
      <c r="E659" s="1" t="s">
        <v>828</v>
      </c>
      <c r="F659" s="1" t="s">
        <v>76</v>
      </c>
      <c r="G659" s="1" t="s">
        <v>93</v>
      </c>
      <c r="H659" s="1" t="s">
        <v>19</v>
      </c>
      <c r="I659" s="1" t="s">
        <v>133</v>
      </c>
      <c r="J659" s="1" t="s">
        <v>134</v>
      </c>
      <c r="K659" s="1" t="str">
        <f>VLOOKUP(J659,'IU Major Match'!$D$2:$E$65,2,FALSE)</f>
        <v xml:space="preserve">Major exists in IU </v>
      </c>
      <c r="L659" s="1">
        <v>71075334</v>
      </c>
      <c r="M659" s="1" t="s">
        <v>113</v>
      </c>
      <c r="N659" s="11">
        <v>99</v>
      </c>
      <c r="O659" s="11">
        <v>27</v>
      </c>
      <c r="P659" s="11">
        <v>12</v>
      </c>
      <c r="Q659" s="11">
        <v>60</v>
      </c>
      <c r="R659" s="5">
        <f t="shared" si="40"/>
        <v>0.39393939393939392</v>
      </c>
      <c r="S659" s="13" t="str">
        <f t="shared" si="41"/>
        <v>=&lt;50</v>
      </c>
      <c r="T659" s="14">
        <f t="shared" si="42"/>
        <v>4</v>
      </c>
      <c r="U659" s="14">
        <f t="shared" si="43"/>
        <v>2</v>
      </c>
    </row>
    <row r="660" spans="1:21" x14ac:dyDescent="0.25">
      <c r="A660" s="1">
        <v>62230152</v>
      </c>
      <c r="B660" s="1">
        <v>186435</v>
      </c>
      <c r="C660" s="1" t="s">
        <v>1237</v>
      </c>
      <c r="D660" s="1" t="s">
        <v>55</v>
      </c>
      <c r="E660" s="1" t="s">
        <v>1238</v>
      </c>
      <c r="F660" s="1" t="s">
        <v>76</v>
      </c>
      <c r="G660" s="1" t="s">
        <v>93</v>
      </c>
      <c r="H660" s="1" t="s">
        <v>19</v>
      </c>
      <c r="I660" s="1" t="s">
        <v>111</v>
      </c>
      <c r="J660" s="1" t="s">
        <v>112</v>
      </c>
      <c r="K660" s="1" t="str">
        <f>VLOOKUP(J660,'IU Major Match'!$D$2:$E$65,2,FALSE)</f>
        <v xml:space="preserve">Major exists in IU </v>
      </c>
      <c r="L660" s="1">
        <v>76591109</v>
      </c>
      <c r="M660" s="1" t="s">
        <v>153</v>
      </c>
      <c r="N660" s="11">
        <v>99</v>
      </c>
      <c r="O660" s="11">
        <v>84</v>
      </c>
      <c r="P660" s="11">
        <v>15</v>
      </c>
      <c r="Q660" s="11">
        <v>0</v>
      </c>
      <c r="R660" s="5">
        <f t="shared" si="40"/>
        <v>1</v>
      </c>
      <c r="S660" s="13" t="str">
        <f t="shared" si="41"/>
        <v>&gt;50</v>
      </c>
      <c r="T660" s="14">
        <f t="shared" si="42"/>
        <v>0</v>
      </c>
      <c r="U660" s="14">
        <f t="shared" si="43"/>
        <v>0</v>
      </c>
    </row>
    <row r="661" spans="1:21" x14ac:dyDescent="0.25">
      <c r="A661" s="1">
        <v>62530156</v>
      </c>
      <c r="B661" s="1">
        <v>224502</v>
      </c>
      <c r="C661" s="1" t="s">
        <v>1239</v>
      </c>
      <c r="D661" s="1" t="s">
        <v>130</v>
      </c>
      <c r="E661" s="1" t="s">
        <v>1240</v>
      </c>
      <c r="F661" s="1" t="s">
        <v>76</v>
      </c>
      <c r="G661" s="1" t="s">
        <v>23</v>
      </c>
      <c r="H661" s="1" t="s">
        <v>19</v>
      </c>
      <c r="I661" s="1" t="s">
        <v>397</v>
      </c>
      <c r="J661" s="1" t="s">
        <v>398</v>
      </c>
      <c r="K661" s="1" t="str">
        <f>VLOOKUP(J661,'IU Major Match'!$D$2:$E$65,2,FALSE)</f>
        <v xml:space="preserve">Major exists in IU </v>
      </c>
      <c r="L661" s="1">
        <v>96171615165</v>
      </c>
      <c r="M661" s="1" t="s">
        <v>99</v>
      </c>
      <c r="N661" s="11">
        <v>99</v>
      </c>
      <c r="O661" s="11">
        <v>12</v>
      </c>
      <c r="P661" s="11">
        <v>16</v>
      </c>
      <c r="Q661" s="11">
        <v>72</v>
      </c>
      <c r="R661" s="5">
        <f t="shared" si="40"/>
        <v>0.28282828282828282</v>
      </c>
      <c r="S661" s="13" t="str">
        <f t="shared" si="41"/>
        <v>=&lt;50</v>
      </c>
      <c r="T661" s="14">
        <f t="shared" si="42"/>
        <v>5</v>
      </c>
      <c r="U661" s="14">
        <f t="shared" si="43"/>
        <v>2.5</v>
      </c>
    </row>
    <row r="662" spans="1:21" x14ac:dyDescent="0.25">
      <c r="A662" s="1">
        <v>62210032</v>
      </c>
      <c r="B662" s="1">
        <v>182036</v>
      </c>
      <c r="C662" s="1" t="s">
        <v>1241</v>
      </c>
      <c r="D662" s="1" t="s">
        <v>214</v>
      </c>
      <c r="E662" s="1" t="s">
        <v>852</v>
      </c>
      <c r="F662" s="1" t="s">
        <v>76</v>
      </c>
      <c r="G662" s="1" t="s">
        <v>23</v>
      </c>
      <c r="H662" s="1" t="s">
        <v>19</v>
      </c>
      <c r="I662" s="1" t="s">
        <v>963</v>
      </c>
      <c r="J662" s="1" t="s">
        <v>964</v>
      </c>
      <c r="K662" s="1" t="str">
        <f>VLOOKUP(J662,'IU Major Match'!$D$2:$E$65,2,FALSE)</f>
        <v>Major Dont exists in IU</v>
      </c>
      <c r="L662" s="1">
        <v>96171947278</v>
      </c>
      <c r="M662" s="1" t="s">
        <v>387</v>
      </c>
      <c r="N662" s="11">
        <v>99</v>
      </c>
      <c r="O662" s="11">
        <v>30</v>
      </c>
      <c r="P662" s="11">
        <v>10</v>
      </c>
      <c r="Q662" s="11">
        <v>59</v>
      </c>
      <c r="R662" s="5">
        <f t="shared" si="40"/>
        <v>0.40404040404040403</v>
      </c>
      <c r="S662" s="13" t="str">
        <f t="shared" si="41"/>
        <v>=&lt;50</v>
      </c>
      <c r="T662" s="14">
        <f t="shared" si="42"/>
        <v>4</v>
      </c>
      <c r="U662" s="14">
        <f t="shared" si="43"/>
        <v>2</v>
      </c>
    </row>
    <row r="663" spans="1:21" x14ac:dyDescent="0.25">
      <c r="A663" s="1">
        <v>62410026</v>
      </c>
      <c r="B663" s="1">
        <v>207965</v>
      </c>
      <c r="C663" s="1" t="s">
        <v>1242</v>
      </c>
      <c r="D663" s="1" t="s">
        <v>559</v>
      </c>
      <c r="E663" s="1" t="s">
        <v>1243</v>
      </c>
      <c r="F663" s="1" t="s">
        <v>76</v>
      </c>
      <c r="G663" s="1" t="s">
        <v>23</v>
      </c>
      <c r="H663" s="1" t="s">
        <v>19</v>
      </c>
      <c r="I663" s="1" t="s">
        <v>116</v>
      </c>
      <c r="J663" s="1" t="s">
        <v>117</v>
      </c>
      <c r="K663" s="1" t="str">
        <f>VLOOKUP(J663,'IU Major Match'!$D$2:$E$65,2,FALSE)</f>
        <v>Major Dont exists in IU</v>
      </c>
      <c r="L663" s="1">
        <v>96170831784</v>
      </c>
      <c r="M663" s="1" t="s">
        <v>362</v>
      </c>
      <c r="N663" s="11">
        <v>99</v>
      </c>
      <c r="O663" s="11">
        <v>46</v>
      </c>
      <c r="P663" s="11">
        <v>18</v>
      </c>
      <c r="Q663" s="11">
        <v>35</v>
      </c>
      <c r="R663" s="5">
        <f t="shared" si="40"/>
        <v>0.64646464646464652</v>
      </c>
      <c r="S663" s="13" t="str">
        <f t="shared" si="41"/>
        <v>&gt;50</v>
      </c>
      <c r="T663" s="14">
        <f t="shared" si="42"/>
        <v>3</v>
      </c>
      <c r="U663" s="14">
        <f t="shared" si="43"/>
        <v>1.5</v>
      </c>
    </row>
    <row r="664" spans="1:21" x14ac:dyDescent="0.25">
      <c r="A664" s="1">
        <v>62330291</v>
      </c>
      <c r="B664" s="1">
        <v>205813</v>
      </c>
      <c r="C664" s="1" t="s">
        <v>1244</v>
      </c>
      <c r="D664" s="1" t="s">
        <v>67</v>
      </c>
      <c r="E664" s="1" t="s">
        <v>73</v>
      </c>
      <c r="F664" s="1" t="s">
        <v>76</v>
      </c>
      <c r="G664" s="1" t="s">
        <v>23</v>
      </c>
      <c r="H664" s="1" t="s">
        <v>19</v>
      </c>
      <c r="I664" s="1" t="s">
        <v>542</v>
      </c>
      <c r="J664" s="1" t="s">
        <v>543</v>
      </c>
      <c r="K664" s="1" t="str">
        <f>VLOOKUP(J664,'IU Major Match'!$D$2:$E$65,2,FALSE)</f>
        <v xml:space="preserve">Major exists in IU </v>
      </c>
      <c r="L664" s="1">
        <v>71833483</v>
      </c>
      <c r="M664" s="1" t="s">
        <v>90</v>
      </c>
      <c r="N664" s="11">
        <v>108</v>
      </c>
      <c r="O664" s="11">
        <v>90</v>
      </c>
      <c r="P664" s="11">
        <v>9</v>
      </c>
      <c r="Q664" s="11">
        <v>9</v>
      </c>
      <c r="R664" s="5">
        <f t="shared" si="40"/>
        <v>0.91666666666666663</v>
      </c>
      <c r="S664" s="13" t="str">
        <f t="shared" si="41"/>
        <v>&gt;50</v>
      </c>
      <c r="T664" s="14">
        <f t="shared" si="42"/>
        <v>1</v>
      </c>
      <c r="U664" s="14">
        <f t="shared" si="43"/>
        <v>0.5</v>
      </c>
    </row>
    <row r="665" spans="1:21" x14ac:dyDescent="0.25">
      <c r="A665" s="1">
        <v>62430266</v>
      </c>
      <c r="B665" s="1">
        <v>215053</v>
      </c>
      <c r="C665" s="1" t="s">
        <v>1245</v>
      </c>
      <c r="D665" s="1" t="s">
        <v>687</v>
      </c>
      <c r="E665" s="1" t="s">
        <v>1246</v>
      </c>
      <c r="F665" s="1" t="s">
        <v>76</v>
      </c>
      <c r="G665" s="1" t="s">
        <v>93</v>
      </c>
      <c r="H665" s="1" t="s">
        <v>19</v>
      </c>
      <c r="I665" s="1" t="s">
        <v>111</v>
      </c>
      <c r="J665" s="1" t="s">
        <v>112</v>
      </c>
      <c r="K665" s="1" t="str">
        <f>VLOOKUP(J665,'IU Major Match'!$D$2:$E$65,2,FALSE)</f>
        <v xml:space="preserve">Major exists in IU </v>
      </c>
      <c r="L665" s="1">
        <v>81475769</v>
      </c>
      <c r="M665" s="1" t="s">
        <v>113</v>
      </c>
      <c r="N665" s="11">
        <v>99</v>
      </c>
      <c r="O665" s="11">
        <v>33</v>
      </c>
      <c r="P665" s="11">
        <v>15</v>
      </c>
      <c r="Q665" s="11">
        <v>51</v>
      </c>
      <c r="R665" s="5">
        <f t="shared" si="40"/>
        <v>0.48484848484848486</v>
      </c>
      <c r="S665" s="13" t="str">
        <f t="shared" si="41"/>
        <v>=&lt;50</v>
      </c>
      <c r="T665" s="14">
        <f t="shared" si="42"/>
        <v>4</v>
      </c>
      <c r="U665" s="14">
        <f t="shared" si="43"/>
        <v>2</v>
      </c>
    </row>
    <row r="666" spans="1:21" x14ac:dyDescent="0.25">
      <c r="A666" s="1">
        <v>62530185</v>
      </c>
      <c r="B666" s="1">
        <v>223912</v>
      </c>
      <c r="C666" s="1" t="s">
        <v>1247</v>
      </c>
      <c r="D666" s="1" t="s">
        <v>1053</v>
      </c>
      <c r="E666" s="1" t="s">
        <v>1248</v>
      </c>
      <c r="F666" s="1" t="s">
        <v>76</v>
      </c>
      <c r="G666" s="1" t="s">
        <v>23</v>
      </c>
      <c r="H666" s="1" t="s">
        <v>19</v>
      </c>
      <c r="I666" s="1" t="s">
        <v>226</v>
      </c>
      <c r="J666" s="1" t="s">
        <v>227</v>
      </c>
      <c r="K666" s="1" t="str">
        <f>VLOOKUP(J666,'IU Major Match'!$D$2:$E$65,2,FALSE)</f>
        <v>Major Dont exists in IU</v>
      </c>
      <c r="L666" s="1">
        <v>96176756280</v>
      </c>
      <c r="M666" s="1" t="s">
        <v>99</v>
      </c>
      <c r="N666" s="11">
        <v>99</v>
      </c>
      <c r="O666" s="11">
        <v>13</v>
      </c>
      <c r="P666" s="11">
        <v>17</v>
      </c>
      <c r="Q666" s="11">
        <v>69</v>
      </c>
      <c r="R666" s="5">
        <f t="shared" si="40"/>
        <v>0.30303030303030304</v>
      </c>
      <c r="S666" s="13" t="str">
        <f t="shared" si="41"/>
        <v>=&lt;50</v>
      </c>
      <c r="T666" s="14">
        <f t="shared" si="42"/>
        <v>5</v>
      </c>
      <c r="U666" s="14">
        <f t="shared" si="43"/>
        <v>2.5</v>
      </c>
    </row>
    <row r="667" spans="1:21" x14ac:dyDescent="0.25">
      <c r="A667" s="1">
        <v>62330296</v>
      </c>
      <c r="B667" s="1">
        <v>205247</v>
      </c>
      <c r="C667" s="1" t="s">
        <v>1249</v>
      </c>
      <c r="D667" s="1" t="s">
        <v>1250</v>
      </c>
      <c r="E667" s="1" t="s">
        <v>43</v>
      </c>
      <c r="F667" s="1" t="s">
        <v>76</v>
      </c>
      <c r="G667" s="1" t="s">
        <v>93</v>
      </c>
      <c r="H667" s="1" t="s">
        <v>19</v>
      </c>
      <c r="I667" s="1" t="s">
        <v>124</v>
      </c>
      <c r="J667" s="1" t="s">
        <v>125</v>
      </c>
      <c r="K667" s="1" t="str">
        <f>VLOOKUP(J667,'IU Major Match'!$D$2:$E$65,2,FALSE)</f>
        <v xml:space="preserve">Major exists in IU </v>
      </c>
      <c r="L667" s="1">
        <v>70573906</v>
      </c>
      <c r="M667" s="1" t="s">
        <v>90</v>
      </c>
      <c r="N667" s="11">
        <v>99</v>
      </c>
      <c r="O667" s="11">
        <v>45</v>
      </c>
      <c r="P667" s="11">
        <v>18</v>
      </c>
      <c r="Q667" s="11">
        <v>36</v>
      </c>
      <c r="R667" s="5">
        <f t="shared" si="40"/>
        <v>0.63636363636363635</v>
      </c>
      <c r="S667" s="13" t="str">
        <f t="shared" si="41"/>
        <v>&gt;50</v>
      </c>
      <c r="T667" s="14">
        <f t="shared" si="42"/>
        <v>3</v>
      </c>
      <c r="U667" s="14">
        <f t="shared" si="43"/>
        <v>1.5</v>
      </c>
    </row>
    <row r="668" spans="1:21" x14ac:dyDescent="0.25">
      <c r="A668" s="1">
        <v>62530180</v>
      </c>
      <c r="B668" s="1">
        <v>223885</v>
      </c>
      <c r="C668" s="1" t="s">
        <v>1251</v>
      </c>
      <c r="D668" s="1" t="s">
        <v>190</v>
      </c>
      <c r="E668" s="1" t="s">
        <v>1252</v>
      </c>
      <c r="F668" s="1" t="s">
        <v>76</v>
      </c>
      <c r="G668" s="1" t="s">
        <v>23</v>
      </c>
      <c r="H668" s="1" t="s">
        <v>19</v>
      </c>
      <c r="I668" s="1" t="s">
        <v>250</v>
      </c>
      <c r="J668" s="1" t="s">
        <v>251</v>
      </c>
      <c r="K668" s="1" t="str">
        <f>VLOOKUP(J668,'IU Major Match'!$D$2:$E$65,2,FALSE)</f>
        <v xml:space="preserve">Major exists in IU </v>
      </c>
      <c r="L668" s="1">
        <v>96170932631</v>
      </c>
      <c r="M668" s="1" t="s">
        <v>99</v>
      </c>
      <c r="N668" s="11">
        <v>99</v>
      </c>
      <c r="O668" s="11">
        <v>3</v>
      </c>
      <c r="P668" s="11">
        <v>12</v>
      </c>
      <c r="Q668" s="11">
        <v>84</v>
      </c>
      <c r="R668" s="5">
        <f t="shared" si="40"/>
        <v>0.15151515151515152</v>
      </c>
      <c r="S668" s="13" t="str">
        <f t="shared" si="41"/>
        <v>=&lt;50</v>
      </c>
      <c r="T668" s="14">
        <f t="shared" si="42"/>
        <v>6</v>
      </c>
      <c r="U668" s="14">
        <f t="shared" si="43"/>
        <v>3</v>
      </c>
    </row>
    <row r="669" spans="1:21" x14ac:dyDescent="0.25">
      <c r="A669" s="1">
        <v>62230128</v>
      </c>
      <c r="B669" s="1">
        <v>188693</v>
      </c>
      <c r="C669" s="1" t="s">
        <v>63</v>
      </c>
      <c r="D669" s="1" t="s">
        <v>1253</v>
      </c>
      <c r="E669" s="1" t="s">
        <v>951</v>
      </c>
      <c r="F669" s="1" t="s">
        <v>76</v>
      </c>
      <c r="G669" s="1" t="s">
        <v>23</v>
      </c>
      <c r="H669" s="1" t="s">
        <v>19</v>
      </c>
      <c r="I669" s="1" t="s">
        <v>151</v>
      </c>
      <c r="J669" s="1" t="s">
        <v>152</v>
      </c>
      <c r="K669" s="1" t="str">
        <f>VLOOKUP(J669,'IU Major Match'!$D$2:$E$65,2,FALSE)</f>
        <v>Major Dont exists in IU</v>
      </c>
      <c r="L669" s="1">
        <v>96181651394</v>
      </c>
      <c r="M669" s="1" t="s">
        <v>153</v>
      </c>
      <c r="N669" s="11">
        <v>105</v>
      </c>
      <c r="O669" s="11">
        <v>62</v>
      </c>
      <c r="P669" s="11">
        <v>13</v>
      </c>
      <c r="Q669" s="11">
        <v>30</v>
      </c>
      <c r="R669" s="5">
        <f t="shared" si="40"/>
        <v>0.7142857142857143</v>
      </c>
      <c r="S669" s="13" t="str">
        <f t="shared" si="41"/>
        <v>&gt;50</v>
      </c>
      <c r="T669" s="14">
        <f t="shared" si="42"/>
        <v>2</v>
      </c>
      <c r="U669" s="14">
        <f t="shared" si="43"/>
        <v>1</v>
      </c>
    </row>
    <row r="670" spans="1:21" x14ac:dyDescent="0.25">
      <c r="A670" s="1">
        <v>62530172</v>
      </c>
      <c r="B670" s="1">
        <v>222917</v>
      </c>
      <c r="C670" s="1" t="s">
        <v>63</v>
      </c>
      <c r="D670" s="1" t="s">
        <v>55</v>
      </c>
      <c r="E670" s="1" t="s">
        <v>1254</v>
      </c>
      <c r="F670" s="1" t="s">
        <v>76</v>
      </c>
      <c r="G670" s="1" t="s">
        <v>93</v>
      </c>
      <c r="H670" s="1" t="s">
        <v>19</v>
      </c>
      <c r="I670" s="1" t="s">
        <v>124</v>
      </c>
      <c r="J670" s="1" t="s">
        <v>125</v>
      </c>
      <c r="K670" s="1" t="str">
        <f>VLOOKUP(J670,'IU Major Match'!$D$2:$E$65,2,FALSE)</f>
        <v xml:space="preserve">Major exists in IU </v>
      </c>
      <c r="L670" s="1">
        <v>9613894562</v>
      </c>
      <c r="M670" s="1" t="s">
        <v>99</v>
      </c>
      <c r="N670" s="11">
        <v>99</v>
      </c>
      <c r="O670" s="11">
        <v>3</v>
      </c>
      <c r="P670" s="11">
        <v>16</v>
      </c>
      <c r="Q670" s="11">
        <v>84</v>
      </c>
      <c r="R670" s="5">
        <f t="shared" si="40"/>
        <v>0.19191919191919191</v>
      </c>
      <c r="S670" s="13" t="str">
        <f t="shared" si="41"/>
        <v>=&lt;50</v>
      </c>
      <c r="T670" s="14">
        <f t="shared" si="42"/>
        <v>6</v>
      </c>
      <c r="U670" s="14">
        <f t="shared" si="43"/>
        <v>3</v>
      </c>
    </row>
    <row r="671" spans="1:21" x14ac:dyDescent="0.25">
      <c r="A671" s="1">
        <v>62230393</v>
      </c>
      <c r="B671" s="1">
        <v>194145</v>
      </c>
      <c r="C671" s="1" t="s">
        <v>1255</v>
      </c>
      <c r="D671" s="1" t="s">
        <v>92</v>
      </c>
      <c r="E671" s="1" t="s">
        <v>1224</v>
      </c>
      <c r="F671" s="1" t="s">
        <v>76</v>
      </c>
      <c r="G671" s="1" t="s">
        <v>23</v>
      </c>
      <c r="H671" s="1" t="s">
        <v>19</v>
      </c>
      <c r="I671" s="1" t="s">
        <v>237</v>
      </c>
      <c r="J671" s="1" t="s">
        <v>238</v>
      </c>
      <c r="K671" s="1" t="str">
        <f>VLOOKUP(J671,'IU Major Match'!$D$2:$E$65,2,FALSE)</f>
        <v xml:space="preserve">Major exists in IU </v>
      </c>
      <c r="L671" s="1">
        <v>96181915348</v>
      </c>
      <c r="M671" s="1" t="s">
        <v>153</v>
      </c>
      <c r="N671" s="11">
        <v>108</v>
      </c>
      <c r="O671" s="11">
        <v>60</v>
      </c>
      <c r="P671" s="11">
        <v>18</v>
      </c>
      <c r="Q671" s="11">
        <v>30</v>
      </c>
      <c r="R671" s="5">
        <f t="shared" si="40"/>
        <v>0.72222222222222221</v>
      </c>
      <c r="S671" s="13" t="str">
        <f t="shared" si="41"/>
        <v>&gt;50</v>
      </c>
      <c r="T671" s="14">
        <f t="shared" si="42"/>
        <v>2</v>
      </c>
      <c r="U671" s="14">
        <f t="shared" si="43"/>
        <v>1</v>
      </c>
    </row>
    <row r="672" spans="1:21" x14ac:dyDescent="0.25">
      <c r="A672" s="1">
        <v>62430139</v>
      </c>
      <c r="B672" s="1">
        <v>210635</v>
      </c>
      <c r="C672" s="1" t="s">
        <v>1255</v>
      </c>
      <c r="D672" s="1" t="s">
        <v>1256</v>
      </c>
      <c r="E672" s="1" t="s">
        <v>1257</v>
      </c>
      <c r="F672" s="1" t="s">
        <v>76</v>
      </c>
      <c r="G672" s="1" t="s">
        <v>23</v>
      </c>
      <c r="H672" s="1" t="s">
        <v>19</v>
      </c>
      <c r="I672" s="1" t="s">
        <v>159</v>
      </c>
      <c r="J672" s="1" t="s">
        <v>160</v>
      </c>
      <c r="K672" s="1" t="str">
        <f>VLOOKUP(J672,'IU Major Match'!$D$2:$E$65,2,FALSE)</f>
        <v xml:space="preserve">Major exists in IU </v>
      </c>
      <c r="L672" s="1">
        <v>9613917698</v>
      </c>
      <c r="M672" s="1" t="s">
        <v>113</v>
      </c>
      <c r="N672" s="11">
        <v>99</v>
      </c>
      <c r="O672" s="11">
        <v>21</v>
      </c>
      <c r="P672" s="11">
        <v>12</v>
      </c>
      <c r="Q672" s="11">
        <v>66</v>
      </c>
      <c r="R672" s="5">
        <f t="shared" si="40"/>
        <v>0.33333333333333331</v>
      </c>
      <c r="S672" s="13" t="str">
        <f t="shared" si="41"/>
        <v>=&lt;50</v>
      </c>
      <c r="T672" s="14">
        <f t="shared" si="42"/>
        <v>5</v>
      </c>
      <c r="U672" s="14">
        <f t="shared" si="43"/>
        <v>2.5</v>
      </c>
    </row>
    <row r="673" spans="1:21" x14ac:dyDescent="0.25">
      <c r="A673" s="1">
        <v>62210005</v>
      </c>
      <c r="B673" s="1">
        <v>182381</v>
      </c>
      <c r="C673" s="1" t="s">
        <v>1258</v>
      </c>
      <c r="D673" s="1" t="s">
        <v>1259</v>
      </c>
      <c r="E673" s="1" t="s">
        <v>1260</v>
      </c>
      <c r="F673" s="1" t="s">
        <v>76</v>
      </c>
      <c r="G673" s="1" t="s">
        <v>23</v>
      </c>
      <c r="H673" s="1" t="s">
        <v>19</v>
      </c>
      <c r="I673" s="1" t="s">
        <v>438</v>
      </c>
      <c r="J673" s="1" t="s">
        <v>439</v>
      </c>
      <c r="K673" s="1" t="str">
        <f>VLOOKUP(J673,'IU Major Match'!$D$2:$E$65,2,FALSE)</f>
        <v xml:space="preserve">Major exists in IU </v>
      </c>
      <c r="L673" s="1">
        <v>9613739418</v>
      </c>
      <c r="M673" s="1" t="s">
        <v>387</v>
      </c>
      <c r="N673" s="11">
        <v>108</v>
      </c>
      <c r="O673" s="11">
        <v>102</v>
      </c>
      <c r="P673" s="11">
        <v>6</v>
      </c>
      <c r="Q673" s="11">
        <v>0</v>
      </c>
      <c r="R673" s="5">
        <f t="shared" si="40"/>
        <v>1</v>
      </c>
      <c r="S673" s="13" t="str">
        <f t="shared" si="41"/>
        <v>&gt;50</v>
      </c>
      <c r="T673" s="14">
        <f t="shared" si="42"/>
        <v>0</v>
      </c>
      <c r="U673" s="14">
        <f t="shared" si="43"/>
        <v>0</v>
      </c>
    </row>
    <row r="674" spans="1:21" x14ac:dyDescent="0.25">
      <c r="A674" s="1">
        <v>62530017</v>
      </c>
      <c r="B674" s="1">
        <v>219160</v>
      </c>
      <c r="C674" s="1" t="s">
        <v>1258</v>
      </c>
      <c r="D674" s="1" t="s">
        <v>1261</v>
      </c>
      <c r="E674" s="1" t="s">
        <v>519</v>
      </c>
      <c r="F674" s="1" t="s">
        <v>76</v>
      </c>
      <c r="G674" s="1" t="s">
        <v>23</v>
      </c>
      <c r="H674" s="1" t="s">
        <v>19</v>
      </c>
      <c r="I674" s="1" t="s">
        <v>97</v>
      </c>
      <c r="J674" s="1" t="s">
        <v>98</v>
      </c>
      <c r="K674" s="1" t="str">
        <f>VLOOKUP(J674,'IU Major Match'!$D$2:$E$65,2,FALSE)</f>
        <v>Major Dont exists in IU</v>
      </c>
      <c r="L674" s="1">
        <v>81525568</v>
      </c>
      <c r="M674" s="1" t="s">
        <v>99</v>
      </c>
      <c r="N674" s="11">
        <v>105</v>
      </c>
      <c r="O674" s="11">
        <v>6</v>
      </c>
      <c r="P674" s="11">
        <v>10</v>
      </c>
      <c r="Q674" s="11">
        <v>103</v>
      </c>
      <c r="R674" s="5">
        <f t="shared" si="40"/>
        <v>0.15238095238095239</v>
      </c>
      <c r="S674" s="13" t="str">
        <f t="shared" si="41"/>
        <v>=&lt;50</v>
      </c>
      <c r="T674" s="14">
        <f t="shared" si="42"/>
        <v>7</v>
      </c>
      <c r="U674" s="14">
        <f t="shared" si="43"/>
        <v>3.5</v>
      </c>
    </row>
    <row r="675" spans="1:21" x14ac:dyDescent="0.25">
      <c r="A675" s="1">
        <v>62430150</v>
      </c>
      <c r="B675" s="1">
        <v>211481</v>
      </c>
      <c r="C675" s="1" t="s">
        <v>1262</v>
      </c>
      <c r="D675" s="1" t="s">
        <v>355</v>
      </c>
      <c r="E675" s="1" t="s">
        <v>1263</v>
      </c>
      <c r="F675" s="1" t="s">
        <v>76</v>
      </c>
      <c r="G675" s="1" t="s">
        <v>23</v>
      </c>
      <c r="H675" s="1" t="s">
        <v>19</v>
      </c>
      <c r="I675" s="1" t="s">
        <v>360</v>
      </c>
      <c r="J675" s="1" t="s">
        <v>361</v>
      </c>
      <c r="K675" s="1" t="str">
        <f>VLOOKUP(J675,'IU Major Match'!$D$2:$E$65,2,FALSE)</f>
        <v xml:space="preserve">Major exists in IU </v>
      </c>
      <c r="L675" s="1">
        <v>76377534</v>
      </c>
      <c r="M675" s="1" t="s">
        <v>113</v>
      </c>
      <c r="N675" s="11">
        <v>108</v>
      </c>
      <c r="O675" s="11">
        <v>24</v>
      </c>
      <c r="P675" s="11">
        <v>18</v>
      </c>
      <c r="Q675" s="11">
        <v>66</v>
      </c>
      <c r="R675" s="5">
        <f t="shared" si="40"/>
        <v>0.3888888888888889</v>
      </c>
      <c r="S675" s="13" t="str">
        <f t="shared" si="41"/>
        <v>=&lt;50</v>
      </c>
      <c r="T675" s="14">
        <f t="shared" si="42"/>
        <v>5</v>
      </c>
      <c r="U675" s="14">
        <f t="shared" si="43"/>
        <v>2.5</v>
      </c>
    </row>
    <row r="676" spans="1:21" x14ac:dyDescent="0.25">
      <c r="A676" s="1">
        <v>62330267</v>
      </c>
      <c r="B676" s="1">
        <v>204221</v>
      </c>
      <c r="C676" s="1" t="s">
        <v>1264</v>
      </c>
      <c r="D676" s="1" t="s">
        <v>640</v>
      </c>
      <c r="E676" s="1" t="s">
        <v>1265</v>
      </c>
      <c r="F676" s="1" t="s">
        <v>76</v>
      </c>
      <c r="G676" s="1" t="s">
        <v>23</v>
      </c>
      <c r="H676" s="1" t="s">
        <v>19</v>
      </c>
      <c r="I676" s="1" t="s">
        <v>151</v>
      </c>
      <c r="J676" s="1" t="s">
        <v>152</v>
      </c>
      <c r="K676" s="1" t="str">
        <f>VLOOKUP(J676,'IU Major Match'!$D$2:$E$65,2,FALSE)</f>
        <v>Major Dont exists in IU</v>
      </c>
      <c r="L676" s="1">
        <v>96176823344</v>
      </c>
      <c r="M676" s="1" t="s">
        <v>90</v>
      </c>
      <c r="N676" s="11">
        <v>105</v>
      </c>
      <c r="O676" s="11">
        <v>73</v>
      </c>
      <c r="P676" s="11">
        <v>15</v>
      </c>
      <c r="Q676" s="11">
        <v>17</v>
      </c>
      <c r="R676" s="5">
        <f t="shared" si="40"/>
        <v>0.83809523809523812</v>
      </c>
      <c r="S676" s="13" t="str">
        <f t="shared" si="41"/>
        <v>&gt;50</v>
      </c>
      <c r="T676" s="14">
        <f t="shared" si="42"/>
        <v>2</v>
      </c>
      <c r="U676" s="14">
        <f t="shared" si="43"/>
        <v>1</v>
      </c>
    </row>
    <row r="677" spans="1:21" x14ac:dyDescent="0.25">
      <c r="A677" s="1">
        <v>62430036</v>
      </c>
      <c r="B677" s="1">
        <v>209473</v>
      </c>
      <c r="C677" s="1" t="s">
        <v>1264</v>
      </c>
      <c r="D677" s="1" t="s">
        <v>1266</v>
      </c>
      <c r="E677" s="1" t="s">
        <v>325</v>
      </c>
      <c r="F677" s="1" t="s">
        <v>76</v>
      </c>
      <c r="G677" s="1" t="s">
        <v>23</v>
      </c>
      <c r="H677" s="1" t="s">
        <v>19</v>
      </c>
      <c r="I677" s="1" t="s">
        <v>88</v>
      </c>
      <c r="J677" s="1" t="s">
        <v>89</v>
      </c>
      <c r="K677" s="1" t="str">
        <f>VLOOKUP(J677,'IU Major Match'!$D$2:$E$65,2,FALSE)</f>
        <v xml:space="preserve">Major exists in IU </v>
      </c>
      <c r="L677" s="1">
        <v>71760381</v>
      </c>
      <c r="M677" s="1" t="s">
        <v>113</v>
      </c>
      <c r="N677" s="11">
        <v>99</v>
      </c>
      <c r="O677" s="11">
        <v>43</v>
      </c>
      <c r="P677" s="11">
        <v>16</v>
      </c>
      <c r="Q677" s="11">
        <v>40</v>
      </c>
      <c r="R677" s="5">
        <f t="shared" si="40"/>
        <v>0.59595959595959591</v>
      </c>
      <c r="S677" s="13" t="str">
        <f t="shared" si="41"/>
        <v>&gt;50</v>
      </c>
      <c r="T677" s="14">
        <f t="shared" si="42"/>
        <v>3</v>
      </c>
      <c r="U677" s="14">
        <f t="shared" si="43"/>
        <v>1.5</v>
      </c>
    </row>
    <row r="678" spans="1:21" x14ac:dyDescent="0.25">
      <c r="A678" s="1">
        <v>62530273</v>
      </c>
      <c r="B678" s="1">
        <v>226462</v>
      </c>
      <c r="C678" s="1" t="s">
        <v>1267</v>
      </c>
      <c r="D678" s="1" t="s">
        <v>1268</v>
      </c>
      <c r="E678" s="1" t="s">
        <v>1269</v>
      </c>
      <c r="F678" s="1" t="s">
        <v>76</v>
      </c>
      <c r="G678" s="1" t="s">
        <v>23</v>
      </c>
      <c r="H678" s="1" t="s">
        <v>19</v>
      </c>
      <c r="I678" s="1" t="s">
        <v>97</v>
      </c>
      <c r="J678" s="1" t="s">
        <v>98</v>
      </c>
      <c r="K678" s="1" t="str">
        <f>VLOOKUP(J678,'IU Major Match'!$D$2:$E$65,2,FALSE)</f>
        <v>Major Dont exists in IU</v>
      </c>
      <c r="L678" s="1">
        <v>96181606670</v>
      </c>
      <c r="M678" s="1" t="s">
        <v>99</v>
      </c>
      <c r="N678" s="11">
        <v>105</v>
      </c>
      <c r="O678" s="11">
        <v>12</v>
      </c>
      <c r="P678" s="11">
        <v>17</v>
      </c>
      <c r="Q678" s="11">
        <v>76</v>
      </c>
      <c r="R678" s="5">
        <f t="shared" si="40"/>
        <v>0.27619047619047621</v>
      </c>
      <c r="S678" s="13" t="str">
        <f t="shared" si="41"/>
        <v>=&lt;50</v>
      </c>
      <c r="T678" s="14">
        <f t="shared" si="42"/>
        <v>6</v>
      </c>
      <c r="U678" s="14">
        <f t="shared" si="43"/>
        <v>3</v>
      </c>
    </row>
    <row r="679" spans="1:21" x14ac:dyDescent="0.25">
      <c r="A679" s="1">
        <v>62510011</v>
      </c>
      <c r="B679" s="1">
        <v>217800</v>
      </c>
      <c r="C679" s="1" t="s">
        <v>1267</v>
      </c>
      <c r="D679" s="1" t="s">
        <v>15</v>
      </c>
      <c r="E679" s="1" t="s">
        <v>1270</v>
      </c>
      <c r="F679" s="1" t="s">
        <v>76</v>
      </c>
      <c r="G679" s="1" t="s">
        <v>93</v>
      </c>
      <c r="H679" s="1" t="s">
        <v>19</v>
      </c>
      <c r="I679" s="1" t="s">
        <v>124</v>
      </c>
      <c r="J679" s="1" t="s">
        <v>125</v>
      </c>
      <c r="K679" s="1" t="str">
        <f>VLOOKUP(J679,'IU Major Match'!$D$2:$E$65,2,FALSE)</f>
        <v xml:space="preserve">Major exists in IU </v>
      </c>
      <c r="L679" s="1">
        <v>81369484</v>
      </c>
      <c r="M679" s="1" t="s">
        <v>242</v>
      </c>
      <c r="N679" s="11">
        <v>99</v>
      </c>
      <c r="O679" s="11">
        <v>15</v>
      </c>
      <c r="P679" s="11">
        <v>18</v>
      </c>
      <c r="Q679" s="11">
        <v>66</v>
      </c>
      <c r="R679" s="5">
        <f t="shared" si="40"/>
        <v>0.33333333333333331</v>
      </c>
      <c r="S679" s="13" t="str">
        <f t="shared" si="41"/>
        <v>=&lt;50</v>
      </c>
      <c r="T679" s="14">
        <f t="shared" si="42"/>
        <v>5</v>
      </c>
      <c r="U679" s="14">
        <f t="shared" si="43"/>
        <v>2.5</v>
      </c>
    </row>
    <row r="680" spans="1:21" x14ac:dyDescent="0.25">
      <c r="A680" s="1">
        <v>62530035</v>
      </c>
      <c r="B680" s="1">
        <v>222153</v>
      </c>
      <c r="C680" s="1" t="s">
        <v>1267</v>
      </c>
      <c r="D680" s="1" t="s">
        <v>92</v>
      </c>
      <c r="E680" s="1" t="s">
        <v>1271</v>
      </c>
      <c r="F680" s="1" t="s">
        <v>76</v>
      </c>
      <c r="G680" s="1" t="s">
        <v>93</v>
      </c>
      <c r="H680" s="1" t="s">
        <v>19</v>
      </c>
      <c r="I680" s="1" t="s">
        <v>754</v>
      </c>
      <c r="J680" s="1" t="s">
        <v>755</v>
      </c>
      <c r="K680" s="1" t="str">
        <f>VLOOKUP(J680,'IU Major Match'!$D$2:$E$65,2,FALSE)</f>
        <v xml:space="preserve">Major exists in IU </v>
      </c>
      <c r="L680" s="1">
        <v>71621736</v>
      </c>
      <c r="M680" s="1" t="s">
        <v>99</v>
      </c>
      <c r="N680" s="11">
        <v>99</v>
      </c>
      <c r="O680" s="11">
        <v>0</v>
      </c>
      <c r="P680" s="11">
        <v>13</v>
      </c>
      <c r="Q680" s="11">
        <v>94</v>
      </c>
      <c r="R680" s="5">
        <f t="shared" si="40"/>
        <v>0.13131313131313133</v>
      </c>
      <c r="S680" s="13" t="str">
        <f t="shared" si="41"/>
        <v>=&lt;50</v>
      </c>
      <c r="T680" s="14">
        <f t="shared" si="42"/>
        <v>7</v>
      </c>
      <c r="U680" s="14">
        <f t="shared" si="43"/>
        <v>3.5</v>
      </c>
    </row>
    <row r="681" spans="1:21" x14ac:dyDescent="0.25">
      <c r="A681" s="1">
        <v>62510001</v>
      </c>
      <c r="B681" s="1">
        <v>217794</v>
      </c>
      <c r="C681" s="1" t="s">
        <v>1272</v>
      </c>
      <c r="D681" s="1" t="s">
        <v>1273</v>
      </c>
      <c r="E681" s="1" t="s">
        <v>1274</v>
      </c>
      <c r="F681" s="1" t="s">
        <v>76</v>
      </c>
      <c r="G681" s="1" t="s">
        <v>68</v>
      </c>
      <c r="H681" s="1" t="s">
        <v>19</v>
      </c>
      <c r="I681" s="1" t="s">
        <v>1275</v>
      </c>
      <c r="J681" s="1" t="s">
        <v>1276</v>
      </c>
      <c r="K681" s="1" t="str">
        <f>VLOOKUP(J681,'IU Major Match'!$D$2:$E$65,2,FALSE)</f>
        <v xml:space="preserve">Major exists in IU </v>
      </c>
      <c r="L681" s="1">
        <v>70552356</v>
      </c>
      <c r="M681" s="1" t="s">
        <v>242</v>
      </c>
      <c r="N681" s="11">
        <v>99</v>
      </c>
      <c r="O681" s="11">
        <v>21</v>
      </c>
      <c r="P681" s="11">
        <v>12</v>
      </c>
      <c r="Q681" s="11">
        <v>66</v>
      </c>
      <c r="R681" s="5">
        <f t="shared" si="40"/>
        <v>0.33333333333333331</v>
      </c>
      <c r="S681" s="13" t="str">
        <f t="shared" si="41"/>
        <v>=&lt;50</v>
      </c>
      <c r="T681" s="14">
        <f t="shared" si="42"/>
        <v>5</v>
      </c>
      <c r="U681" s="14">
        <f t="shared" si="43"/>
        <v>2.5</v>
      </c>
    </row>
    <row r="682" spans="1:21" x14ac:dyDescent="0.25">
      <c r="A682" s="1">
        <v>62330087</v>
      </c>
      <c r="B682" s="1">
        <v>199060</v>
      </c>
      <c r="C682" s="1" t="s">
        <v>1272</v>
      </c>
      <c r="D682" s="1" t="s">
        <v>948</v>
      </c>
      <c r="E682" s="1" t="s">
        <v>1277</v>
      </c>
      <c r="F682" s="1" t="s">
        <v>76</v>
      </c>
      <c r="G682" s="1" t="s">
        <v>23</v>
      </c>
      <c r="H682" s="1" t="s">
        <v>19</v>
      </c>
      <c r="I682" s="1" t="s">
        <v>151</v>
      </c>
      <c r="J682" s="1" t="s">
        <v>152</v>
      </c>
      <c r="K682" s="1" t="str">
        <f>VLOOKUP(J682,'IU Major Match'!$D$2:$E$65,2,FALSE)</f>
        <v>Major Dont exists in IU</v>
      </c>
      <c r="L682" s="1">
        <v>81394811</v>
      </c>
      <c r="M682" s="1" t="s">
        <v>90</v>
      </c>
      <c r="N682" s="11">
        <v>105</v>
      </c>
      <c r="O682" s="11">
        <v>56</v>
      </c>
      <c r="P682" s="11">
        <v>15</v>
      </c>
      <c r="Q682" s="11">
        <v>34</v>
      </c>
      <c r="R682" s="5">
        <f t="shared" si="40"/>
        <v>0.67619047619047623</v>
      </c>
      <c r="S682" s="13" t="str">
        <f t="shared" si="41"/>
        <v>&gt;50</v>
      </c>
      <c r="T682" s="14">
        <f t="shared" si="42"/>
        <v>3</v>
      </c>
      <c r="U682" s="14">
        <f t="shared" si="43"/>
        <v>1.5</v>
      </c>
    </row>
    <row r="683" spans="1:21" x14ac:dyDescent="0.25">
      <c r="A683" s="1">
        <v>62530111</v>
      </c>
      <c r="B683" s="1">
        <v>220497</v>
      </c>
      <c r="C683" s="1" t="s">
        <v>418</v>
      </c>
      <c r="D683" s="1" t="s">
        <v>1278</v>
      </c>
      <c r="E683" s="1" t="s">
        <v>1279</v>
      </c>
      <c r="F683" s="1" t="s">
        <v>76</v>
      </c>
      <c r="G683" s="1" t="s">
        <v>23</v>
      </c>
      <c r="H683" s="1" t="s">
        <v>19</v>
      </c>
      <c r="I683" s="1" t="s">
        <v>397</v>
      </c>
      <c r="J683" s="1" t="s">
        <v>398</v>
      </c>
      <c r="K683" s="1" t="str">
        <f>VLOOKUP(J683,'IU Major Match'!$D$2:$E$65,2,FALSE)</f>
        <v xml:space="preserve">Major exists in IU </v>
      </c>
      <c r="L683" s="1">
        <v>76394086</v>
      </c>
      <c r="M683" s="1" t="s">
        <v>99</v>
      </c>
      <c r="N683" s="11">
        <v>99</v>
      </c>
      <c r="O683" s="11">
        <v>6</v>
      </c>
      <c r="P683" s="11">
        <v>15</v>
      </c>
      <c r="Q683" s="11">
        <v>79</v>
      </c>
      <c r="R683" s="5">
        <f t="shared" si="40"/>
        <v>0.21212121212121213</v>
      </c>
      <c r="S683" s="13" t="str">
        <f t="shared" si="41"/>
        <v>=&lt;50</v>
      </c>
      <c r="T683" s="14">
        <f t="shared" si="42"/>
        <v>6</v>
      </c>
      <c r="U683" s="14">
        <f t="shared" si="43"/>
        <v>3</v>
      </c>
    </row>
    <row r="684" spans="1:21" x14ac:dyDescent="0.25">
      <c r="A684" s="1">
        <v>62330312</v>
      </c>
      <c r="B684" s="1">
        <v>205852</v>
      </c>
      <c r="C684" s="1" t="s">
        <v>1280</v>
      </c>
      <c r="D684" s="1" t="s">
        <v>609</v>
      </c>
      <c r="E684" s="1" t="s">
        <v>1281</v>
      </c>
      <c r="F684" s="1" t="s">
        <v>76</v>
      </c>
      <c r="G684" s="1" t="s">
        <v>93</v>
      </c>
      <c r="H684" s="1" t="s">
        <v>19</v>
      </c>
      <c r="I684" s="1" t="s">
        <v>107</v>
      </c>
      <c r="J684" s="1" t="s">
        <v>108</v>
      </c>
      <c r="K684" s="1" t="str">
        <f>VLOOKUP(J684,'IU Major Match'!$D$2:$E$65,2,FALSE)</f>
        <v xml:space="preserve">Major exists in IU </v>
      </c>
      <c r="L684" s="1">
        <v>76445265</v>
      </c>
      <c r="M684" s="1" t="s">
        <v>90</v>
      </c>
      <c r="N684" s="11">
        <v>99</v>
      </c>
      <c r="O684" s="11">
        <v>57</v>
      </c>
      <c r="P684" s="11">
        <v>18</v>
      </c>
      <c r="Q684" s="11">
        <v>24</v>
      </c>
      <c r="R684" s="5">
        <f t="shared" si="40"/>
        <v>0.75757575757575757</v>
      </c>
      <c r="S684" s="13" t="str">
        <f t="shared" si="41"/>
        <v>&gt;50</v>
      </c>
      <c r="T684" s="14">
        <f t="shared" si="42"/>
        <v>2</v>
      </c>
      <c r="U684" s="14">
        <f t="shared" si="43"/>
        <v>1</v>
      </c>
    </row>
    <row r="685" spans="1:21" x14ac:dyDescent="0.25">
      <c r="A685" s="1">
        <v>62230179</v>
      </c>
      <c r="B685" s="1">
        <v>188717</v>
      </c>
      <c r="C685" s="1" t="s">
        <v>1282</v>
      </c>
      <c r="D685" s="1" t="s">
        <v>253</v>
      </c>
      <c r="E685" s="1" t="s">
        <v>325</v>
      </c>
      <c r="F685" s="1" t="s">
        <v>76</v>
      </c>
      <c r="G685" s="1" t="s">
        <v>23</v>
      </c>
      <c r="H685" s="1" t="s">
        <v>19</v>
      </c>
      <c r="I685" s="1" t="s">
        <v>159</v>
      </c>
      <c r="J685" s="1" t="s">
        <v>160</v>
      </c>
      <c r="K685" s="1" t="str">
        <f>VLOOKUP(J685,'IU Major Match'!$D$2:$E$65,2,FALSE)</f>
        <v xml:space="preserve">Major exists in IU </v>
      </c>
      <c r="L685" s="1">
        <v>96171342017</v>
      </c>
      <c r="M685" s="1" t="s">
        <v>153</v>
      </c>
      <c r="N685" s="11">
        <v>99</v>
      </c>
      <c r="O685" s="11">
        <v>55</v>
      </c>
      <c r="P685" s="11">
        <v>10</v>
      </c>
      <c r="Q685" s="11">
        <v>34</v>
      </c>
      <c r="R685" s="5">
        <f t="shared" si="40"/>
        <v>0.65656565656565657</v>
      </c>
      <c r="S685" s="13" t="str">
        <f t="shared" si="41"/>
        <v>&gt;50</v>
      </c>
      <c r="T685" s="14">
        <f t="shared" si="42"/>
        <v>3</v>
      </c>
      <c r="U685" s="14">
        <f t="shared" si="43"/>
        <v>1.5</v>
      </c>
    </row>
    <row r="686" spans="1:21" x14ac:dyDescent="0.25">
      <c r="A686" s="1">
        <v>62610020</v>
      </c>
      <c r="B686" s="1">
        <v>227394</v>
      </c>
      <c r="C686" s="1" t="s">
        <v>1283</v>
      </c>
      <c r="D686" s="1" t="s">
        <v>648</v>
      </c>
      <c r="E686" s="1" t="s">
        <v>852</v>
      </c>
      <c r="F686" s="1" t="s">
        <v>76</v>
      </c>
      <c r="G686" s="1" t="s">
        <v>93</v>
      </c>
      <c r="H686" s="1" t="s">
        <v>19</v>
      </c>
      <c r="I686" s="1" t="s">
        <v>216</v>
      </c>
      <c r="J686" s="1" t="s">
        <v>217</v>
      </c>
      <c r="K686" s="1" t="str">
        <f>VLOOKUP(J686,'IU Major Match'!$D$2:$E$65,2,FALSE)</f>
        <v xml:space="preserve">Major exists in IU </v>
      </c>
      <c r="L686" s="1">
        <v>96170813757</v>
      </c>
      <c r="M686" s="1" t="s">
        <v>84</v>
      </c>
      <c r="N686" s="11">
        <v>99</v>
      </c>
      <c r="O686" s="11">
        <v>6</v>
      </c>
      <c r="P686" s="11">
        <v>12</v>
      </c>
      <c r="Q686" s="11">
        <v>81</v>
      </c>
      <c r="R686" s="5">
        <f t="shared" si="40"/>
        <v>0.18181818181818182</v>
      </c>
      <c r="S686" s="13" t="str">
        <f t="shared" si="41"/>
        <v>=&lt;50</v>
      </c>
      <c r="T686" s="14">
        <f t="shared" si="42"/>
        <v>6</v>
      </c>
      <c r="U686" s="14">
        <f t="shared" si="43"/>
        <v>3</v>
      </c>
    </row>
    <row r="687" spans="1:21" x14ac:dyDescent="0.25">
      <c r="A687" s="1">
        <v>62430202</v>
      </c>
      <c r="B687" s="1">
        <v>213479</v>
      </c>
      <c r="C687" s="1" t="s">
        <v>1284</v>
      </c>
      <c r="D687" s="1" t="s">
        <v>1176</v>
      </c>
      <c r="E687" s="1" t="s">
        <v>1285</v>
      </c>
      <c r="F687" s="1" t="s">
        <v>76</v>
      </c>
      <c r="G687" s="1" t="s">
        <v>18</v>
      </c>
      <c r="H687" s="1" t="s">
        <v>19</v>
      </c>
      <c r="I687" s="1" t="s">
        <v>245</v>
      </c>
      <c r="J687" s="1" t="s">
        <v>246</v>
      </c>
      <c r="K687" s="1" t="str">
        <f>VLOOKUP(J687,'IU Major Match'!$D$2:$E$65,2,FALSE)</f>
        <v>Major Dont exists in IU</v>
      </c>
      <c r="L687" s="1">
        <v>81482503</v>
      </c>
      <c r="M687" s="1" t="s">
        <v>113</v>
      </c>
      <c r="N687" s="11">
        <v>114</v>
      </c>
      <c r="O687" s="11">
        <v>38</v>
      </c>
      <c r="P687" s="11">
        <v>12</v>
      </c>
      <c r="Q687" s="11">
        <v>58</v>
      </c>
      <c r="R687" s="5">
        <f t="shared" si="40"/>
        <v>0.43859649122807015</v>
      </c>
      <c r="S687" s="13" t="str">
        <f t="shared" si="41"/>
        <v>=&lt;50</v>
      </c>
      <c r="T687" s="14">
        <f t="shared" si="42"/>
        <v>4</v>
      </c>
      <c r="U687" s="14">
        <f t="shared" si="43"/>
        <v>2</v>
      </c>
    </row>
    <row r="688" spans="1:21" x14ac:dyDescent="0.25">
      <c r="A688" s="1">
        <v>62230215</v>
      </c>
      <c r="B688" s="1">
        <v>188603</v>
      </c>
      <c r="C688" s="1" t="s">
        <v>1286</v>
      </c>
      <c r="D688" s="1" t="s">
        <v>501</v>
      </c>
      <c r="E688" s="1" t="s">
        <v>1287</v>
      </c>
      <c r="F688" s="1" t="s">
        <v>76</v>
      </c>
      <c r="G688" s="1" t="s">
        <v>93</v>
      </c>
      <c r="H688" s="1" t="s">
        <v>19</v>
      </c>
      <c r="I688" s="1" t="s">
        <v>111</v>
      </c>
      <c r="J688" s="1" t="s">
        <v>112</v>
      </c>
      <c r="K688" s="1" t="str">
        <f>VLOOKUP(J688,'IU Major Match'!$D$2:$E$65,2,FALSE)</f>
        <v xml:space="preserve">Major exists in IU </v>
      </c>
      <c r="L688" s="1">
        <v>96171543458</v>
      </c>
      <c r="M688" s="1" t="s">
        <v>153</v>
      </c>
      <c r="N688" s="11">
        <v>99</v>
      </c>
      <c r="O688" s="11">
        <v>69</v>
      </c>
      <c r="P688" s="11">
        <v>12</v>
      </c>
      <c r="Q688" s="11">
        <v>18</v>
      </c>
      <c r="R688" s="5">
        <f t="shared" si="40"/>
        <v>0.81818181818181823</v>
      </c>
      <c r="S688" s="13" t="str">
        <f t="shared" si="41"/>
        <v>&gt;50</v>
      </c>
      <c r="T688" s="14">
        <f t="shared" si="42"/>
        <v>2</v>
      </c>
      <c r="U688" s="14">
        <f t="shared" si="43"/>
        <v>1</v>
      </c>
    </row>
    <row r="689" spans="1:21" x14ac:dyDescent="0.25">
      <c r="A689" s="1">
        <v>62530083</v>
      </c>
      <c r="B689" s="1">
        <v>220540</v>
      </c>
      <c r="C689" s="1" t="s">
        <v>1288</v>
      </c>
      <c r="D689" s="1" t="s">
        <v>1289</v>
      </c>
      <c r="E689" s="1" t="s">
        <v>1290</v>
      </c>
      <c r="F689" s="1" t="s">
        <v>76</v>
      </c>
      <c r="G689" s="1" t="s">
        <v>93</v>
      </c>
      <c r="H689" s="1" t="s">
        <v>19</v>
      </c>
      <c r="I689" s="1" t="s">
        <v>216</v>
      </c>
      <c r="J689" s="1" t="s">
        <v>217</v>
      </c>
      <c r="K689" s="1" t="str">
        <f>VLOOKUP(J689,'IU Major Match'!$D$2:$E$65,2,FALSE)</f>
        <v xml:space="preserve">Major exists in IU </v>
      </c>
      <c r="L689" s="1">
        <v>81593211</v>
      </c>
      <c r="M689" s="1" t="s">
        <v>99</v>
      </c>
      <c r="N689" s="11">
        <v>99</v>
      </c>
      <c r="O689" s="11">
        <v>15</v>
      </c>
      <c r="P689" s="11">
        <v>12</v>
      </c>
      <c r="Q689" s="11">
        <v>72</v>
      </c>
      <c r="R689" s="5">
        <f t="shared" si="40"/>
        <v>0.27272727272727271</v>
      </c>
      <c r="S689" s="13" t="str">
        <f t="shared" si="41"/>
        <v>=&lt;50</v>
      </c>
      <c r="T689" s="14">
        <f t="shared" si="42"/>
        <v>5</v>
      </c>
      <c r="U689" s="14">
        <f t="shared" si="43"/>
        <v>2.5</v>
      </c>
    </row>
    <row r="690" spans="1:21" x14ac:dyDescent="0.25">
      <c r="A690" s="1">
        <v>62610004</v>
      </c>
      <c r="B690" s="1">
        <v>227141</v>
      </c>
      <c r="C690" s="1" t="s">
        <v>1291</v>
      </c>
      <c r="D690" s="1" t="s">
        <v>149</v>
      </c>
      <c r="E690" s="1" t="s">
        <v>1292</v>
      </c>
      <c r="F690" s="1" t="s">
        <v>76</v>
      </c>
      <c r="G690" s="1" t="s">
        <v>93</v>
      </c>
      <c r="H690" s="1" t="s">
        <v>19</v>
      </c>
      <c r="I690" s="1" t="s">
        <v>349</v>
      </c>
      <c r="J690" s="1" t="s">
        <v>350</v>
      </c>
      <c r="K690" s="1" t="str">
        <f>VLOOKUP(J690,'IU Major Match'!$D$2:$E$65,2,FALSE)</f>
        <v xml:space="preserve">Major exists in IU </v>
      </c>
      <c r="L690" s="1">
        <v>96170486780</v>
      </c>
      <c r="M690" s="1" t="s">
        <v>84</v>
      </c>
      <c r="N690" s="11">
        <v>99</v>
      </c>
      <c r="O690" s="11">
        <v>0</v>
      </c>
      <c r="P690" s="11">
        <v>15</v>
      </c>
      <c r="Q690" s="11">
        <v>84</v>
      </c>
      <c r="R690" s="5">
        <f t="shared" si="40"/>
        <v>0.15151515151515152</v>
      </c>
      <c r="S690" s="13" t="str">
        <f t="shared" si="41"/>
        <v>=&lt;50</v>
      </c>
      <c r="T690" s="14">
        <f t="shared" si="42"/>
        <v>6</v>
      </c>
      <c r="U690" s="14">
        <f t="shared" si="43"/>
        <v>3</v>
      </c>
    </row>
    <row r="691" spans="1:21" x14ac:dyDescent="0.25">
      <c r="A691" s="1">
        <v>62430126</v>
      </c>
      <c r="B691" s="1">
        <v>210606</v>
      </c>
      <c r="C691" s="1" t="s">
        <v>1293</v>
      </c>
      <c r="D691" s="1" t="s">
        <v>1294</v>
      </c>
      <c r="E691" s="1" t="s">
        <v>1295</v>
      </c>
      <c r="F691" s="1" t="s">
        <v>76</v>
      </c>
      <c r="G691" s="1" t="s">
        <v>23</v>
      </c>
      <c r="H691" s="1" t="s">
        <v>19</v>
      </c>
      <c r="I691" s="1" t="s">
        <v>542</v>
      </c>
      <c r="J691" s="1" t="s">
        <v>543</v>
      </c>
      <c r="K691" s="1" t="str">
        <f>VLOOKUP(J691,'IU Major Match'!$D$2:$E$65,2,FALSE)</f>
        <v xml:space="preserve">Major exists in IU </v>
      </c>
      <c r="L691" s="1">
        <v>81288500</v>
      </c>
      <c r="M691" s="1" t="s">
        <v>113</v>
      </c>
      <c r="N691" s="11">
        <v>108</v>
      </c>
      <c r="O691" s="11">
        <v>42</v>
      </c>
      <c r="P691" s="11">
        <v>18</v>
      </c>
      <c r="Q691" s="11">
        <v>48</v>
      </c>
      <c r="R691" s="5">
        <f t="shared" si="40"/>
        <v>0.55555555555555558</v>
      </c>
      <c r="S691" s="13" t="str">
        <f t="shared" si="41"/>
        <v>&gt;50</v>
      </c>
      <c r="T691" s="14">
        <f t="shared" si="42"/>
        <v>4</v>
      </c>
      <c r="U691" s="14">
        <f t="shared" si="43"/>
        <v>2</v>
      </c>
    </row>
    <row r="692" spans="1:21" x14ac:dyDescent="0.25">
      <c r="A692" s="1">
        <v>62530152</v>
      </c>
      <c r="B692" s="1">
        <v>222182</v>
      </c>
      <c r="C692" s="1" t="s">
        <v>1296</v>
      </c>
      <c r="D692" s="1" t="s">
        <v>155</v>
      </c>
      <c r="E692" s="1" t="s">
        <v>1297</v>
      </c>
      <c r="F692" s="1" t="s">
        <v>76</v>
      </c>
      <c r="G692" s="1" t="s">
        <v>23</v>
      </c>
      <c r="H692" s="1" t="s">
        <v>19</v>
      </c>
      <c r="I692" s="1" t="s">
        <v>890</v>
      </c>
      <c r="J692" s="1" t="s">
        <v>891</v>
      </c>
      <c r="K692" s="1" t="str">
        <f>VLOOKUP(J692,'IU Major Match'!$D$2:$E$65,2,FALSE)</f>
        <v xml:space="preserve">Major exists in IU </v>
      </c>
      <c r="L692" s="1">
        <v>71007224</v>
      </c>
      <c r="M692" s="1" t="s">
        <v>99</v>
      </c>
      <c r="N692" s="11">
        <v>108</v>
      </c>
      <c r="O692" s="11">
        <v>12</v>
      </c>
      <c r="P692" s="11">
        <v>18</v>
      </c>
      <c r="Q692" s="11">
        <v>78</v>
      </c>
      <c r="R692" s="5">
        <f t="shared" si="40"/>
        <v>0.27777777777777779</v>
      </c>
      <c r="S692" s="13" t="str">
        <f t="shared" si="41"/>
        <v>=&lt;50</v>
      </c>
      <c r="T692" s="14">
        <f t="shared" si="42"/>
        <v>6</v>
      </c>
      <c r="U692" s="14">
        <f t="shared" si="43"/>
        <v>3</v>
      </c>
    </row>
    <row r="693" spans="1:21" x14ac:dyDescent="0.25">
      <c r="A693" s="1">
        <v>62120011</v>
      </c>
      <c r="B693" s="1">
        <v>166279</v>
      </c>
      <c r="C693" s="1" t="s">
        <v>1298</v>
      </c>
      <c r="D693" s="1" t="s">
        <v>554</v>
      </c>
      <c r="E693" s="1" t="s">
        <v>1281</v>
      </c>
      <c r="F693" s="1" t="s">
        <v>76</v>
      </c>
      <c r="G693" s="1" t="s">
        <v>93</v>
      </c>
      <c r="H693" s="1" t="s">
        <v>19</v>
      </c>
      <c r="I693" s="1" t="s">
        <v>168</v>
      </c>
      <c r="J693" s="1" t="s">
        <v>169</v>
      </c>
      <c r="K693" s="1" t="str">
        <f>VLOOKUP(J693,'IU Major Match'!$D$2:$E$65,2,FALSE)</f>
        <v>Major Dont exists in IU</v>
      </c>
      <c r="L693" s="1">
        <v>96181076731</v>
      </c>
      <c r="M693" s="1" t="s">
        <v>460</v>
      </c>
      <c r="N693" s="11">
        <v>99</v>
      </c>
      <c r="O693" s="11">
        <v>78</v>
      </c>
      <c r="P693" s="11">
        <v>21</v>
      </c>
      <c r="Q693" s="11">
        <v>0</v>
      </c>
      <c r="R693" s="5">
        <f t="shared" si="40"/>
        <v>1</v>
      </c>
      <c r="S693" s="13" t="str">
        <f t="shared" si="41"/>
        <v>&gt;50</v>
      </c>
      <c r="T693" s="14">
        <f t="shared" si="42"/>
        <v>0</v>
      </c>
      <c r="U693" s="14">
        <f t="shared" si="43"/>
        <v>0</v>
      </c>
    </row>
    <row r="694" spans="1:21" x14ac:dyDescent="0.25">
      <c r="A694" s="1">
        <v>62530266</v>
      </c>
      <c r="B694" s="1">
        <v>226128</v>
      </c>
      <c r="C694" s="1" t="s">
        <v>66</v>
      </c>
      <c r="D694" s="1" t="s">
        <v>383</v>
      </c>
      <c r="E694" s="1" t="s">
        <v>1200</v>
      </c>
      <c r="F694" s="1" t="s">
        <v>76</v>
      </c>
      <c r="G694" s="1" t="s">
        <v>68</v>
      </c>
      <c r="H694" s="1" t="s">
        <v>19</v>
      </c>
      <c r="I694" s="1" t="s">
        <v>474</v>
      </c>
      <c r="J694" s="1" t="s">
        <v>475</v>
      </c>
      <c r="K694" s="1" t="str">
        <f>VLOOKUP(J694,'IU Major Match'!$D$2:$E$65,2,FALSE)</f>
        <v xml:space="preserve">Major exists in IU </v>
      </c>
      <c r="L694" s="1">
        <v>96171482360</v>
      </c>
      <c r="M694" s="1" t="s">
        <v>99</v>
      </c>
      <c r="N694" s="11">
        <v>99</v>
      </c>
      <c r="O694" s="11">
        <v>6</v>
      </c>
      <c r="P694" s="11">
        <v>12</v>
      </c>
      <c r="Q694" s="11">
        <v>81</v>
      </c>
      <c r="R694" s="5">
        <f t="shared" si="40"/>
        <v>0.18181818181818182</v>
      </c>
      <c r="S694" s="13" t="str">
        <f t="shared" si="41"/>
        <v>=&lt;50</v>
      </c>
      <c r="T694" s="14">
        <f t="shared" si="42"/>
        <v>6</v>
      </c>
      <c r="U694" s="14">
        <f t="shared" si="43"/>
        <v>3</v>
      </c>
    </row>
    <row r="695" spans="1:21" x14ac:dyDescent="0.25">
      <c r="A695" s="1">
        <v>62430199</v>
      </c>
      <c r="B695" s="1">
        <v>212233</v>
      </c>
      <c r="C695" s="1" t="s">
        <v>66</v>
      </c>
      <c r="D695" s="1" t="s">
        <v>680</v>
      </c>
      <c r="E695" s="1" t="s">
        <v>1299</v>
      </c>
      <c r="F695" s="1" t="s">
        <v>76</v>
      </c>
      <c r="G695" s="1" t="s">
        <v>23</v>
      </c>
      <c r="H695" s="1" t="s">
        <v>19</v>
      </c>
      <c r="I695" s="1" t="s">
        <v>226</v>
      </c>
      <c r="J695" s="1" t="s">
        <v>227</v>
      </c>
      <c r="K695" s="1" t="str">
        <f>VLOOKUP(J695,'IU Major Match'!$D$2:$E$65,2,FALSE)</f>
        <v>Major Dont exists in IU</v>
      </c>
      <c r="L695" s="1">
        <v>81512065</v>
      </c>
      <c r="M695" s="1" t="s">
        <v>113</v>
      </c>
      <c r="N695" s="11">
        <v>99</v>
      </c>
      <c r="O695" s="11">
        <v>19</v>
      </c>
      <c r="P695" s="11">
        <v>11</v>
      </c>
      <c r="Q695" s="11">
        <v>69</v>
      </c>
      <c r="R695" s="5">
        <f t="shared" si="40"/>
        <v>0.30303030303030304</v>
      </c>
      <c r="S695" s="13" t="str">
        <f t="shared" si="41"/>
        <v>=&lt;50</v>
      </c>
      <c r="T695" s="14">
        <f t="shared" si="42"/>
        <v>5</v>
      </c>
      <c r="U695" s="14">
        <f t="shared" si="43"/>
        <v>2.5</v>
      </c>
    </row>
    <row r="696" spans="1:21" x14ac:dyDescent="0.25">
      <c r="A696" s="1">
        <v>61930325</v>
      </c>
      <c r="B696" s="1">
        <v>147999</v>
      </c>
      <c r="C696" s="1" t="s">
        <v>1300</v>
      </c>
      <c r="D696" s="1" t="s">
        <v>513</v>
      </c>
      <c r="E696" s="1" t="s">
        <v>1301</v>
      </c>
      <c r="F696" s="1" t="s">
        <v>76</v>
      </c>
      <c r="G696" s="1" t="s">
        <v>93</v>
      </c>
      <c r="H696" s="1" t="s">
        <v>19</v>
      </c>
      <c r="I696" s="1" t="s">
        <v>111</v>
      </c>
      <c r="J696" s="1" t="s">
        <v>112</v>
      </c>
      <c r="K696" s="1" t="str">
        <f>VLOOKUP(J696,'IU Major Match'!$D$2:$E$65,2,FALSE)</f>
        <v xml:space="preserve">Major exists in IU </v>
      </c>
      <c r="L696" s="1">
        <v>81458230</v>
      </c>
      <c r="M696" s="1" t="s">
        <v>205</v>
      </c>
      <c r="N696" s="11">
        <v>99</v>
      </c>
      <c r="O696" s="11">
        <v>84</v>
      </c>
      <c r="P696" s="11">
        <v>9</v>
      </c>
      <c r="Q696" s="11">
        <v>6</v>
      </c>
      <c r="R696" s="5">
        <f t="shared" si="40"/>
        <v>0.93939393939393945</v>
      </c>
      <c r="S696" s="13" t="str">
        <f t="shared" si="41"/>
        <v>&gt;50</v>
      </c>
      <c r="T696" s="14">
        <f t="shared" si="42"/>
        <v>1</v>
      </c>
      <c r="U696" s="14">
        <f t="shared" si="43"/>
        <v>0.5</v>
      </c>
    </row>
    <row r="697" spans="1:21" x14ac:dyDescent="0.25">
      <c r="A697" s="1">
        <v>62430200</v>
      </c>
      <c r="B697" s="1">
        <v>213301</v>
      </c>
      <c r="C697" s="1" t="s">
        <v>1300</v>
      </c>
      <c r="D697" s="1" t="s">
        <v>35</v>
      </c>
      <c r="E697" s="1" t="s">
        <v>741</v>
      </c>
      <c r="F697" s="1" t="s">
        <v>76</v>
      </c>
      <c r="G697" s="1" t="s">
        <v>93</v>
      </c>
      <c r="H697" s="1" t="s">
        <v>19</v>
      </c>
      <c r="I697" s="1" t="s">
        <v>133</v>
      </c>
      <c r="J697" s="1" t="s">
        <v>134</v>
      </c>
      <c r="K697" s="1" t="str">
        <f>VLOOKUP(J697,'IU Major Match'!$D$2:$E$65,2,FALSE)</f>
        <v xml:space="preserve">Major exists in IU </v>
      </c>
      <c r="L697" s="1">
        <v>76373579</v>
      </c>
      <c r="M697" s="1" t="s">
        <v>113</v>
      </c>
      <c r="N697" s="11">
        <v>99</v>
      </c>
      <c r="O697" s="11">
        <v>30</v>
      </c>
      <c r="P697" s="11">
        <v>15</v>
      </c>
      <c r="Q697" s="11">
        <v>54</v>
      </c>
      <c r="R697" s="5">
        <f t="shared" si="40"/>
        <v>0.45454545454545453</v>
      </c>
      <c r="S697" s="13" t="str">
        <f t="shared" si="41"/>
        <v>=&lt;50</v>
      </c>
      <c r="T697" s="14">
        <f t="shared" si="42"/>
        <v>4</v>
      </c>
      <c r="U697" s="14">
        <f t="shared" si="43"/>
        <v>2</v>
      </c>
    </row>
    <row r="698" spans="1:21" x14ac:dyDescent="0.25">
      <c r="A698" s="1">
        <v>62530194</v>
      </c>
      <c r="B698" s="1">
        <v>223906</v>
      </c>
      <c r="C698" s="1" t="s">
        <v>1300</v>
      </c>
      <c r="D698" s="1" t="s">
        <v>418</v>
      </c>
      <c r="E698" s="1" t="s">
        <v>1302</v>
      </c>
      <c r="F698" s="1" t="s">
        <v>76</v>
      </c>
      <c r="G698" s="1" t="s">
        <v>93</v>
      </c>
      <c r="H698" s="1" t="s">
        <v>19</v>
      </c>
      <c r="I698" s="1" t="s">
        <v>124</v>
      </c>
      <c r="J698" s="1" t="s">
        <v>125</v>
      </c>
      <c r="K698" s="1" t="str">
        <f>VLOOKUP(J698,'IU Major Match'!$D$2:$E$65,2,FALSE)</f>
        <v xml:space="preserve">Major exists in IU </v>
      </c>
      <c r="L698" s="1">
        <v>96170717369</v>
      </c>
      <c r="M698" s="1" t="s">
        <v>99</v>
      </c>
      <c r="N698" s="11">
        <v>99</v>
      </c>
      <c r="O698" s="11">
        <v>18</v>
      </c>
      <c r="P698" s="11">
        <v>15</v>
      </c>
      <c r="Q698" s="11">
        <v>66</v>
      </c>
      <c r="R698" s="5">
        <f t="shared" si="40"/>
        <v>0.33333333333333331</v>
      </c>
      <c r="S698" s="13" t="str">
        <f t="shared" si="41"/>
        <v>=&lt;50</v>
      </c>
      <c r="T698" s="14">
        <f t="shared" si="42"/>
        <v>5</v>
      </c>
      <c r="U698" s="14">
        <f t="shared" si="43"/>
        <v>2.5</v>
      </c>
    </row>
    <row r="699" spans="1:21" x14ac:dyDescent="0.25">
      <c r="A699" s="1">
        <v>62610023</v>
      </c>
      <c r="B699" s="1">
        <v>227598</v>
      </c>
      <c r="C699" s="1" t="s">
        <v>1300</v>
      </c>
      <c r="D699" s="1" t="s">
        <v>1303</v>
      </c>
      <c r="E699" s="1" t="s">
        <v>1304</v>
      </c>
      <c r="F699" s="1" t="s">
        <v>76</v>
      </c>
      <c r="G699" s="1" t="s">
        <v>93</v>
      </c>
      <c r="H699" s="1" t="s">
        <v>19</v>
      </c>
      <c r="I699" s="1" t="s">
        <v>138</v>
      </c>
      <c r="J699" s="1" t="s">
        <v>139</v>
      </c>
      <c r="K699" s="1" t="str">
        <f>VLOOKUP(J699,'IU Major Match'!$D$2:$E$65,2,FALSE)</f>
        <v xml:space="preserve">Major exists in IU </v>
      </c>
      <c r="L699" s="1">
        <v>96181967797</v>
      </c>
      <c r="M699" s="1" t="s">
        <v>84</v>
      </c>
      <c r="N699" s="11">
        <v>99</v>
      </c>
      <c r="O699" s="11">
        <v>3</v>
      </c>
      <c r="P699" s="11">
        <v>9</v>
      </c>
      <c r="Q699" s="11">
        <v>96</v>
      </c>
      <c r="R699" s="5">
        <f t="shared" si="40"/>
        <v>0.12121212121212122</v>
      </c>
      <c r="S699" s="13" t="str">
        <f t="shared" si="41"/>
        <v>=&lt;50</v>
      </c>
      <c r="T699" s="14">
        <f t="shared" si="42"/>
        <v>7</v>
      </c>
      <c r="U699" s="14">
        <f t="shared" si="43"/>
        <v>3.5</v>
      </c>
    </row>
    <row r="700" spans="1:21" x14ac:dyDescent="0.25">
      <c r="A700" s="1">
        <v>62330130</v>
      </c>
      <c r="B700" s="1">
        <v>199821</v>
      </c>
      <c r="C700" s="1" t="s">
        <v>1300</v>
      </c>
      <c r="D700" s="1" t="s">
        <v>1305</v>
      </c>
      <c r="E700" s="1" t="s">
        <v>1306</v>
      </c>
      <c r="F700" s="1" t="s">
        <v>76</v>
      </c>
      <c r="G700" s="1" t="s">
        <v>23</v>
      </c>
      <c r="H700" s="1" t="s">
        <v>19</v>
      </c>
      <c r="I700" s="1" t="s">
        <v>88</v>
      </c>
      <c r="J700" s="1" t="s">
        <v>89</v>
      </c>
      <c r="K700" s="1" t="str">
        <f>VLOOKUP(J700,'IU Major Match'!$D$2:$E$65,2,FALSE)</f>
        <v xml:space="preserve">Major exists in IU </v>
      </c>
      <c r="L700" s="1">
        <v>96181685621</v>
      </c>
      <c r="M700" s="1" t="s">
        <v>90</v>
      </c>
      <c r="N700" s="11">
        <v>99</v>
      </c>
      <c r="O700" s="11">
        <v>42</v>
      </c>
      <c r="P700" s="11">
        <v>12</v>
      </c>
      <c r="Q700" s="11">
        <v>45</v>
      </c>
      <c r="R700" s="5">
        <f t="shared" si="40"/>
        <v>0.54545454545454541</v>
      </c>
      <c r="S700" s="13" t="str">
        <f t="shared" si="41"/>
        <v>&gt;50</v>
      </c>
      <c r="T700" s="14">
        <f t="shared" si="42"/>
        <v>3</v>
      </c>
      <c r="U700" s="14">
        <f t="shared" si="43"/>
        <v>1.5</v>
      </c>
    </row>
    <row r="701" spans="1:21" x14ac:dyDescent="0.25">
      <c r="A701" s="1">
        <v>62330208</v>
      </c>
      <c r="B701" s="1">
        <v>202626</v>
      </c>
      <c r="C701" s="1" t="s">
        <v>1307</v>
      </c>
      <c r="D701" s="1" t="s">
        <v>635</v>
      </c>
      <c r="E701" s="1" t="s">
        <v>654</v>
      </c>
      <c r="F701" s="1" t="s">
        <v>76</v>
      </c>
      <c r="G701" s="1" t="s">
        <v>93</v>
      </c>
      <c r="H701" s="1" t="s">
        <v>19</v>
      </c>
      <c r="I701" s="1" t="s">
        <v>107</v>
      </c>
      <c r="J701" s="1" t="s">
        <v>108</v>
      </c>
      <c r="K701" s="1" t="str">
        <f>VLOOKUP(J701,'IU Major Match'!$D$2:$E$65,2,FALSE)</f>
        <v xml:space="preserve">Major exists in IU </v>
      </c>
      <c r="L701" s="1">
        <v>96176058236</v>
      </c>
      <c r="M701" s="1" t="s">
        <v>90</v>
      </c>
      <c r="N701" s="11">
        <v>99</v>
      </c>
      <c r="O701" s="11">
        <v>51</v>
      </c>
      <c r="P701" s="11">
        <v>18</v>
      </c>
      <c r="Q701" s="11">
        <v>30</v>
      </c>
      <c r="R701" s="5">
        <f t="shared" si="40"/>
        <v>0.69696969696969702</v>
      </c>
      <c r="S701" s="13" t="str">
        <f t="shared" si="41"/>
        <v>&gt;50</v>
      </c>
      <c r="T701" s="14">
        <f t="shared" si="42"/>
        <v>2</v>
      </c>
      <c r="U701" s="14">
        <f t="shared" si="43"/>
        <v>1</v>
      </c>
    </row>
    <row r="702" spans="1:21" x14ac:dyDescent="0.25">
      <c r="A702" s="1">
        <v>62430100</v>
      </c>
      <c r="B702" s="1">
        <v>210030</v>
      </c>
      <c r="C702" s="1" t="s">
        <v>1308</v>
      </c>
      <c r="D702" s="1" t="s">
        <v>1058</v>
      </c>
      <c r="E702" s="1" t="s">
        <v>1309</v>
      </c>
      <c r="F702" s="1" t="s">
        <v>76</v>
      </c>
      <c r="G702" s="1" t="s">
        <v>23</v>
      </c>
      <c r="H702" s="1" t="s">
        <v>19</v>
      </c>
      <c r="I702" s="1" t="s">
        <v>88</v>
      </c>
      <c r="J702" s="1" t="s">
        <v>89</v>
      </c>
      <c r="K702" s="1" t="str">
        <f>VLOOKUP(J702,'IU Major Match'!$D$2:$E$65,2,FALSE)</f>
        <v xml:space="preserve">Major exists in IU </v>
      </c>
      <c r="L702" s="1">
        <v>70134887</v>
      </c>
      <c r="M702" s="1" t="s">
        <v>113</v>
      </c>
      <c r="N702" s="11">
        <v>99</v>
      </c>
      <c r="O702" s="11">
        <v>37</v>
      </c>
      <c r="P702" s="11">
        <v>13</v>
      </c>
      <c r="Q702" s="11">
        <v>49</v>
      </c>
      <c r="R702" s="5">
        <f t="shared" si="40"/>
        <v>0.50505050505050508</v>
      </c>
      <c r="S702" s="13" t="str">
        <f t="shared" si="41"/>
        <v>&gt;50</v>
      </c>
      <c r="T702" s="14">
        <f t="shared" si="42"/>
        <v>4</v>
      </c>
      <c r="U702" s="14">
        <f t="shared" si="43"/>
        <v>2</v>
      </c>
    </row>
    <row r="703" spans="1:21" x14ac:dyDescent="0.25">
      <c r="A703" s="1">
        <v>62310002</v>
      </c>
      <c r="B703" s="1">
        <v>196939</v>
      </c>
      <c r="C703" s="1" t="s">
        <v>1310</v>
      </c>
      <c r="D703" s="1" t="s">
        <v>1311</v>
      </c>
      <c r="E703" s="1" t="s">
        <v>1312</v>
      </c>
      <c r="F703" s="1" t="s">
        <v>76</v>
      </c>
      <c r="G703" s="1" t="s">
        <v>93</v>
      </c>
      <c r="H703" s="1" t="s">
        <v>19</v>
      </c>
      <c r="I703" s="1" t="s">
        <v>133</v>
      </c>
      <c r="J703" s="1" t="s">
        <v>134</v>
      </c>
      <c r="K703" s="1" t="str">
        <f>VLOOKUP(J703,'IU Major Match'!$D$2:$E$65,2,FALSE)</f>
        <v xml:space="preserve">Major exists in IU </v>
      </c>
      <c r="L703" s="1">
        <v>71814733</v>
      </c>
      <c r="M703" s="1" t="s">
        <v>178</v>
      </c>
      <c r="N703" s="11">
        <v>99</v>
      </c>
      <c r="O703" s="11">
        <v>45</v>
      </c>
      <c r="P703" s="11">
        <v>15</v>
      </c>
      <c r="Q703" s="11">
        <v>39</v>
      </c>
      <c r="R703" s="5">
        <f t="shared" si="40"/>
        <v>0.60606060606060608</v>
      </c>
      <c r="S703" s="13" t="str">
        <f t="shared" si="41"/>
        <v>&gt;50</v>
      </c>
      <c r="T703" s="14">
        <f t="shared" si="42"/>
        <v>3</v>
      </c>
      <c r="U703" s="14">
        <f t="shared" si="43"/>
        <v>1.5</v>
      </c>
    </row>
    <row r="704" spans="1:21" x14ac:dyDescent="0.25">
      <c r="A704" s="1">
        <v>62430290</v>
      </c>
      <c r="B704" s="1">
        <v>215593</v>
      </c>
      <c r="C704" s="1" t="s">
        <v>1313</v>
      </c>
      <c r="D704" s="1" t="s">
        <v>1294</v>
      </c>
      <c r="E704" s="1" t="s">
        <v>1314</v>
      </c>
      <c r="F704" s="1" t="s">
        <v>76</v>
      </c>
      <c r="G704" s="1" t="s">
        <v>68</v>
      </c>
      <c r="H704" s="1" t="s">
        <v>19</v>
      </c>
      <c r="I704" s="1" t="s">
        <v>474</v>
      </c>
      <c r="J704" s="1" t="s">
        <v>475</v>
      </c>
      <c r="K704" s="1" t="str">
        <f>VLOOKUP(J704,'IU Major Match'!$D$2:$E$65,2,FALSE)</f>
        <v xml:space="preserve">Major exists in IU </v>
      </c>
      <c r="L704" s="1">
        <v>96171569912</v>
      </c>
      <c r="M704" s="1" t="s">
        <v>113</v>
      </c>
      <c r="N704" s="11">
        <v>99</v>
      </c>
      <c r="O704" s="11">
        <v>21</v>
      </c>
      <c r="P704" s="11">
        <v>12</v>
      </c>
      <c r="Q704" s="11">
        <v>66</v>
      </c>
      <c r="R704" s="5">
        <f t="shared" si="40"/>
        <v>0.33333333333333331</v>
      </c>
      <c r="S704" s="13" t="str">
        <f t="shared" si="41"/>
        <v>=&lt;50</v>
      </c>
      <c r="T704" s="14">
        <f t="shared" si="42"/>
        <v>5</v>
      </c>
      <c r="U704" s="14">
        <f t="shared" si="43"/>
        <v>2.5</v>
      </c>
    </row>
    <row r="705" spans="1:21" x14ac:dyDescent="0.25">
      <c r="A705" s="1">
        <v>62410027</v>
      </c>
      <c r="B705" s="1">
        <v>207963</v>
      </c>
      <c r="C705" s="1" t="s">
        <v>1313</v>
      </c>
      <c r="D705" s="1" t="s">
        <v>635</v>
      </c>
      <c r="E705" s="1" t="s">
        <v>1315</v>
      </c>
      <c r="F705" s="1" t="s">
        <v>76</v>
      </c>
      <c r="G705" s="1" t="s">
        <v>23</v>
      </c>
      <c r="H705" s="1" t="s">
        <v>19</v>
      </c>
      <c r="I705" s="1" t="s">
        <v>159</v>
      </c>
      <c r="J705" s="1" t="s">
        <v>160</v>
      </c>
      <c r="K705" s="1" t="str">
        <f>VLOOKUP(J705,'IU Major Match'!$D$2:$E$65,2,FALSE)</f>
        <v xml:space="preserve">Major exists in IU </v>
      </c>
      <c r="L705" s="1">
        <v>76594195</v>
      </c>
      <c r="M705" s="1" t="s">
        <v>362</v>
      </c>
      <c r="N705" s="11">
        <v>99</v>
      </c>
      <c r="O705" s="11">
        <v>43</v>
      </c>
      <c r="P705" s="11">
        <v>19</v>
      </c>
      <c r="Q705" s="11">
        <v>37</v>
      </c>
      <c r="R705" s="5">
        <f t="shared" si="40"/>
        <v>0.6262626262626263</v>
      </c>
      <c r="S705" s="13" t="str">
        <f t="shared" si="41"/>
        <v>&gt;50</v>
      </c>
      <c r="T705" s="14">
        <f t="shared" si="42"/>
        <v>3</v>
      </c>
      <c r="U705" s="14">
        <f t="shared" si="43"/>
        <v>1.5</v>
      </c>
    </row>
    <row r="706" spans="1:21" x14ac:dyDescent="0.25">
      <c r="A706" s="1">
        <v>62330037</v>
      </c>
      <c r="B706" s="1">
        <v>216507</v>
      </c>
      <c r="C706" s="1" t="s">
        <v>1313</v>
      </c>
      <c r="D706" s="1" t="s">
        <v>451</v>
      </c>
      <c r="E706" s="1" t="s">
        <v>1316</v>
      </c>
      <c r="F706" s="1" t="s">
        <v>76</v>
      </c>
      <c r="G706" s="1" t="s">
        <v>23</v>
      </c>
      <c r="H706" s="1" t="s">
        <v>19</v>
      </c>
      <c r="I706" s="1" t="s">
        <v>151</v>
      </c>
      <c r="J706" s="1" t="s">
        <v>152</v>
      </c>
      <c r="K706" s="1" t="str">
        <f>VLOOKUP(J706,'IU Major Match'!$D$2:$E$65,2,FALSE)</f>
        <v>Major Dont exists in IU</v>
      </c>
      <c r="L706" s="1">
        <v>79132764</v>
      </c>
      <c r="M706" s="1" t="s">
        <v>113</v>
      </c>
      <c r="N706" s="11">
        <v>105</v>
      </c>
      <c r="O706" s="11">
        <v>40</v>
      </c>
      <c r="P706" s="11">
        <v>11</v>
      </c>
      <c r="Q706" s="11">
        <v>54</v>
      </c>
      <c r="R706" s="5">
        <f t="shared" si="40"/>
        <v>0.48571428571428571</v>
      </c>
      <c r="S706" s="13" t="str">
        <f t="shared" si="41"/>
        <v>=&lt;50</v>
      </c>
      <c r="T706" s="14">
        <f t="shared" si="42"/>
        <v>4</v>
      </c>
      <c r="U706" s="14">
        <f t="shared" si="43"/>
        <v>2</v>
      </c>
    </row>
    <row r="707" spans="1:21" x14ac:dyDescent="0.25">
      <c r="A707" s="1">
        <v>62330198</v>
      </c>
      <c r="B707" s="1">
        <v>202656</v>
      </c>
      <c r="C707" s="1" t="s">
        <v>1317</v>
      </c>
      <c r="D707" s="1" t="s">
        <v>256</v>
      </c>
      <c r="E707" s="1" t="s">
        <v>1318</v>
      </c>
      <c r="F707" s="1" t="s">
        <v>76</v>
      </c>
      <c r="G707" s="1" t="s">
        <v>23</v>
      </c>
      <c r="H707" s="1" t="s">
        <v>19</v>
      </c>
      <c r="I707" s="1" t="s">
        <v>103</v>
      </c>
      <c r="J707" s="1" t="s">
        <v>104</v>
      </c>
      <c r="K707" s="1" t="str">
        <f>VLOOKUP(J707,'IU Major Match'!$D$2:$E$65,2,FALSE)</f>
        <v xml:space="preserve">Major exists in IU </v>
      </c>
      <c r="L707" s="1">
        <v>70469021</v>
      </c>
      <c r="M707" s="1" t="s">
        <v>90</v>
      </c>
      <c r="N707" s="11">
        <v>100</v>
      </c>
      <c r="O707" s="11">
        <v>50</v>
      </c>
      <c r="P707" s="11">
        <v>9</v>
      </c>
      <c r="Q707" s="11">
        <v>41</v>
      </c>
      <c r="R707" s="5">
        <f t="shared" ref="R707:R770" si="44">(O707+P707)/N707</f>
        <v>0.59</v>
      </c>
      <c r="S707" s="13" t="str">
        <f t="shared" ref="S707:S770" si="45">IF(R707&lt;=50%,"=&lt;50","&gt;50")</f>
        <v>&gt;50</v>
      </c>
      <c r="T707" s="14">
        <f t="shared" ref="T707:T770" si="46">ROUNDUP(Q707/15,0)</f>
        <v>3</v>
      </c>
      <c r="U707" s="14">
        <f t="shared" ref="U707:U770" si="47">T707/2</f>
        <v>1.5</v>
      </c>
    </row>
    <row r="708" spans="1:21" x14ac:dyDescent="0.25">
      <c r="A708" s="1">
        <v>62330093</v>
      </c>
      <c r="B708" s="1">
        <v>199849</v>
      </c>
      <c r="C708" s="1" t="s">
        <v>1317</v>
      </c>
      <c r="D708" s="1" t="s">
        <v>140</v>
      </c>
      <c r="E708" s="1" t="s">
        <v>1319</v>
      </c>
      <c r="F708" s="1" t="s">
        <v>76</v>
      </c>
      <c r="G708" s="1" t="s">
        <v>23</v>
      </c>
      <c r="H708" s="1" t="s">
        <v>19</v>
      </c>
      <c r="I708" s="1" t="s">
        <v>890</v>
      </c>
      <c r="J708" s="1" t="s">
        <v>891</v>
      </c>
      <c r="K708" s="1" t="str">
        <f>VLOOKUP(J708,'IU Major Match'!$D$2:$E$65,2,FALSE)</f>
        <v xml:space="preserve">Major exists in IU </v>
      </c>
      <c r="L708" s="1">
        <v>96176898769</v>
      </c>
      <c r="M708" s="1" t="s">
        <v>90</v>
      </c>
      <c r="N708" s="11">
        <v>108</v>
      </c>
      <c r="O708" s="11">
        <v>21</v>
      </c>
      <c r="P708" s="11">
        <v>15</v>
      </c>
      <c r="Q708" s="11">
        <v>72</v>
      </c>
      <c r="R708" s="5">
        <f t="shared" si="44"/>
        <v>0.33333333333333331</v>
      </c>
      <c r="S708" s="13" t="str">
        <f t="shared" si="45"/>
        <v>=&lt;50</v>
      </c>
      <c r="T708" s="14">
        <f t="shared" si="46"/>
        <v>5</v>
      </c>
      <c r="U708" s="14">
        <f t="shared" si="47"/>
        <v>2.5</v>
      </c>
    </row>
    <row r="709" spans="1:21" x14ac:dyDescent="0.25">
      <c r="A709" s="1">
        <v>62330110</v>
      </c>
      <c r="B709" s="1">
        <v>199865</v>
      </c>
      <c r="C709" s="1" t="s">
        <v>1317</v>
      </c>
      <c r="D709" s="1" t="s">
        <v>1303</v>
      </c>
      <c r="E709" s="1" t="s">
        <v>654</v>
      </c>
      <c r="F709" s="1" t="s">
        <v>76</v>
      </c>
      <c r="G709" s="1" t="s">
        <v>93</v>
      </c>
      <c r="H709" s="1" t="s">
        <v>19</v>
      </c>
      <c r="I709" s="1" t="s">
        <v>133</v>
      </c>
      <c r="J709" s="1" t="s">
        <v>134</v>
      </c>
      <c r="K709" s="1" t="str">
        <f>VLOOKUP(J709,'IU Major Match'!$D$2:$E$65,2,FALSE)</f>
        <v xml:space="preserve">Major exists in IU </v>
      </c>
      <c r="L709" s="1">
        <v>96170735820</v>
      </c>
      <c r="M709" s="1" t="s">
        <v>90</v>
      </c>
      <c r="N709" s="11">
        <v>99</v>
      </c>
      <c r="O709" s="11">
        <v>72</v>
      </c>
      <c r="P709" s="11">
        <v>15</v>
      </c>
      <c r="Q709" s="11">
        <v>12</v>
      </c>
      <c r="R709" s="5">
        <f t="shared" si="44"/>
        <v>0.87878787878787878</v>
      </c>
      <c r="S709" s="13" t="str">
        <f t="shared" si="45"/>
        <v>&gt;50</v>
      </c>
      <c r="T709" s="14">
        <f t="shared" si="46"/>
        <v>1</v>
      </c>
      <c r="U709" s="14">
        <f t="shared" si="47"/>
        <v>0.5</v>
      </c>
    </row>
    <row r="710" spans="1:21" x14ac:dyDescent="0.25">
      <c r="A710" s="1">
        <v>62430323</v>
      </c>
      <c r="B710" s="1">
        <v>216845</v>
      </c>
      <c r="C710" s="1" t="s">
        <v>1320</v>
      </c>
      <c r="D710" s="1" t="s">
        <v>1294</v>
      </c>
      <c r="E710" s="1" t="s">
        <v>1321</v>
      </c>
      <c r="F710" s="1" t="s">
        <v>76</v>
      </c>
      <c r="G710" s="1" t="s">
        <v>93</v>
      </c>
      <c r="H710" s="1" t="s">
        <v>19</v>
      </c>
      <c r="I710" s="1" t="s">
        <v>107</v>
      </c>
      <c r="J710" s="1" t="s">
        <v>108</v>
      </c>
      <c r="K710" s="1" t="str">
        <f>VLOOKUP(J710,'IU Major Match'!$D$2:$E$65,2,FALSE)</f>
        <v xml:space="preserve">Major exists in IU </v>
      </c>
      <c r="L710" s="1">
        <v>96181226586</v>
      </c>
      <c r="M710" s="1" t="s">
        <v>113</v>
      </c>
      <c r="N710" s="11">
        <v>99</v>
      </c>
      <c r="O710" s="11">
        <v>42</v>
      </c>
      <c r="P710" s="11">
        <v>15</v>
      </c>
      <c r="Q710" s="11">
        <v>42</v>
      </c>
      <c r="R710" s="5">
        <f t="shared" si="44"/>
        <v>0.5757575757575758</v>
      </c>
      <c r="S710" s="13" t="str">
        <f t="shared" si="45"/>
        <v>&gt;50</v>
      </c>
      <c r="T710" s="14">
        <f t="shared" si="46"/>
        <v>3</v>
      </c>
      <c r="U710" s="14">
        <f t="shared" si="47"/>
        <v>1.5</v>
      </c>
    </row>
    <row r="711" spans="1:21" x14ac:dyDescent="0.25">
      <c r="A711" s="1">
        <v>62130304</v>
      </c>
      <c r="B711" s="1">
        <v>173446</v>
      </c>
      <c r="C711" s="1" t="s">
        <v>1322</v>
      </c>
      <c r="D711" s="1" t="s">
        <v>1323</v>
      </c>
      <c r="E711" s="1" t="s">
        <v>1324</v>
      </c>
      <c r="F711" s="1" t="s">
        <v>76</v>
      </c>
      <c r="G711" s="1" t="s">
        <v>23</v>
      </c>
      <c r="H711" s="1" t="s">
        <v>19</v>
      </c>
      <c r="I711" s="1" t="s">
        <v>103</v>
      </c>
      <c r="J711" s="1" t="s">
        <v>104</v>
      </c>
      <c r="K711" s="1" t="str">
        <f>VLOOKUP(J711,'IU Major Match'!$D$2:$E$65,2,FALSE)</f>
        <v xml:space="preserve">Major exists in IU </v>
      </c>
      <c r="L711" s="1">
        <v>70508779</v>
      </c>
      <c r="M711" s="1" t="s">
        <v>79</v>
      </c>
      <c r="N711" s="11">
        <v>100</v>
      </c>
      <c r="O711" s="11">
        <v>63</v>
      </c>
      <c r="P711" s="11">
        <v>6</v>
      </c>
      <c r="Q711" s="11">
        <v>31</v>
      </c>
      <c r="R711" s="5">
        <f t="shared" si="44"/>
        <v>0.69</v>
      </c>
      <c r="S711" s="13" t="str">
        <f t="shared" si="45"/>
        <v>&gt;50</v>
      </c>
      <c r="T711" s="14">
        <f t="shared" si="46"/>
        <v>3</v>
      </c>
      <c r="U711" s="14">
        <f t="shared" si="47"/>
        <v>1.5</v>
      </c>
    </row>
    <row r="712" spans="1:21" x14ac:dyDescent="0.25">
      <c r="A712" s="1">
        <v>62430040</v>
      </c>
      <c r="B712" s="1">
        <v>209735</v>
      </c>
      <c r="C712" s="1" t="s">
        <v>1325</v>
      </c>
      <c r="D712" s="1" t="s">
        <v>898</v>
      </c>
      <c r="E712" s="1" t="s">
        <v>955</v>
      </c>
      <c r="F712" s="1" t="s">
        <v>76</v>
      </c>
      <c r="G712" s="1" t="s">
        <v>23</v>
      </c>
      <c r="H712" s="1" t="s">
        <v>19</v>
      </c>
      <c r="I712" s="1" t="s">
        <v>116</v>
      </c>
      <c r="J712" s="1" t="s">
        <v>117</v>
      </c>
      <c r="K712" s="1" t="str">
        <f>VLOOKUP(J712,'IU Major Match'!$D$2:$E$65,2,FALSE)</f>
        <v>Major Dont exists in IU</v>
      </c>
      <c r="L712" s="1">
        <v>70313381</v>
      </c>
      <c r="M712" s="1" t="s">
        <v>113</v>
      </c>
      <c r="N712" s="11">
        <v>99</v>
      </c>
      <c r="O712" s="11">
        <v>34</v>
      </c>
      <c r="P712" s="11">
        <v>16</v>
      </c>
      <c r="Q712" s="11">
        <v>49</v>
      </c>
      <c r="R712" s="5">
        <f t="shared" si="44"/>
        <v>0.50505050505050508</v>
      </c>
      <c r="S712" s="13" t="str">
        <f t="shared" si="45"/>
        <v>&gt;50</v>
      </c>
      <c r="T712" s="14">
        <f t="shared" si="46"/>
        <v>4</v>
      </c>
      <c r="U712" s="14">
        <f t="shared" si="47"/>
        <v>2</v>
      </c>
    </row>
    <row r="713" spans="1:21" x14ac:dyDescent="0.25">
      <c r="A713" s="1">
        <v>62530182</v>
      </c>
      <c r="B713" s="1">
        <v>224192</v>
      </c>
      <c r="C713" s="1" t="s">
        <v>1326</v>
      </c>
      <c r="D713" s="1" t="s">
        <v>309</v>
      </c>
      <c r="E713" s="1" t="s">
        <v>310</v>
      </c>
      <c r="F713" s="1" t="s">
        <v>76</v>
      </c>
      <c r="G713" s="1" t="s">
        <v>23</v>
      </c>
      <c r="H713" s="1" t="s">
        <v>19</v>
      </c>
      <c r="I713" s="1" t="s">
        <v>1117</v>
      </c>
      <c r="J713" s="1" t="s">
        <v>1118</v>
      </c>
      <c r="K713" s="1" t="str">
        <f>VLOOKUP(J713,'IU Major Match'!$D$2:$E$65,2,FALSE)</f>
        <v xml:space="preserve">Major exists in IU </v>
      </c>
      <c r="L713" s="1">
        <v>96171518473</v>
      </c>
      <c r="M713" s="1" t="s">
        <v>99</v>
      </c>
      <c r="N713" s="11">
        <v>108</v>
      </c>
      <c r="O713" s="11">
        <v>30</v>
      </c>
      <c r="P713" s="11">
        <v>18</v>
      </c>
      <c r="Q713" s="11">
        <v>60</v>
      </c>
      <c r="R713" s="5">
        <f t="shared" si="44"/>
        <v>0.44444444444444442</v>
      </c>
      <c r="S713" s="13" t="str">
        <f t="shared" si="45"/>
        <v>=&lt;50</v>
      </c>
      <c r="T713" s="14">
        <f t="shared" si="46"/>
        <v>4</v>
      </c>
      <c r="U713" s="14">
        <f t="shared" si="47"/>
        <v>2</v>
      </c>
    </row>
    <row r="714" spans="1:21" x14ac:dyDescent="0.25">
      <c r="A714" s="1">
        <v>62130188</v>
      </c>
      <c r="B714" s="1">
        <v>173427</v>
      </c>
      <c r="C714" s="1" t="s">
        <v>1327</v>
      </c>
      <c r="D714" s="1" t="s">
        <v>372</v>
      </c>
      <c r="E714" s="1" t="s">
        <v>741</v>
      </c>
      <c r="F714" s="1" t="s">
        <v>76</v>
      </c>
      <c r="G714" s="1" t="s">
        <v>23</v>
      </c>
      <c r="H714" s="1" t="s">
        <v>19</v>
      </c>
      <c r="I714" s="1" t="s">
        <v>151</v>
      </c>
      <c r="J714" s="1" t="s">
        <v>152</v>
      </c>
      <c r="K714" s="1" t="str">
        <f>VLOOKUP(J714,'IU Major Match'!$D$2:$E$65,2,FALSE)</f>
        <v>Major Dont exists in IU</v>
      </c>
      <c r="L714" s="1">
        <v>96171567159</v>
      </c>
      <c r="M714" s="1" t="s">
        <v>79</v>
      </c>
      <c r="N714" s="11">
        <v>105</v>
      </c>
      <c r="O714" s="11">
        <v>86</v>
      </c>
      <c r="P714" s="11">
        <v>13</v>
      </c>
      <c r="Q714" s="11">
        <v>6</v>
      </c>
      <c r="R714" s="5">
        <f t="shared" si="44"/>
        <v>0.94285714285714284</v>
      </c>
      <c r="S714" s="13" t="str">
        <f t="shared" si="45"/>
        <v>&gt;50</v>
      </c>
      <c r="T714" s="14">
        <f t="shared" si="46"/>
        <v>1</v>
      </c>
      <c r="U714" s="14">
        <f t="shared" si="47"/>
        <v>0.5</v>
      </c>
    </row>
    <row r="715" spans="1:21" x14ac:dyDescent="0.25">
      <c r="A715" s="1">
        <v>62430236</v>
      </c>
      <c r="B715" s="1">
        <v>214192</v>
      </c>
      <c r="C715" s="1" t="s">
        <v>1327</v>
      </c>
      <c r="D715" s="1" t="s">
        <v>1328</v>
      </c>
      <c r="E715" s="1" t="s">
        <v>1329</v>
      </c>
      <c r="F715" s="1" t="s">
        <v>76</v>
      </c>
      <c r="G715" s="1" t="s">
        <v>23</v>
      </c>
      <c r="H715" s="1" t="s">
        <v>19</v>
      </c>
      <c r="I715" s="1" t="s">
        <v>116</v>
      </c>
      <c r="J715" s="1" t="s">
        <v>117</v>
      </c>
      <c r="K715" s="1" t="str">
        <f>VLOOKUP(J715,'IU Major Match'!$D$2:$E$65,2,FALSE)</f>
        <v>Major Dont exists in IU</v>
      </c>
      <c r="L715" s="1">
        <v>76480121</v>
      </c>
      <c r="M715" s="1" t="s">
        <v>113</v>
      </c>
      <c r="N715" s="11">
        <v>99</v>
      </c>
      <c r="O715" s="11">
        <v>17</v>
      </c>
      <c r="P715" s="11">
        <v>16</v>
      </c>
      <c r="Q715" s="11">
        <v>70</v>
      </c>
      <c r="R715" s="5">
        <f t="shared" si="44"/>
        <v>0.33333333333333331</v>
      </c>
      <c r="S715" s="13" t="str">
        <f t="shared" si="45"/>
        <v>=&lt;50</v>
      </c>
      <c r="T715" s="14">
        <f t="shared" si="46"/>
        <v>5</v>
      </c>
      <c r="U715" s="14">
        <f t="shared" si="47"/>
        <v>2.5</v>
      </c>
    </row>
    <row r="716" spans="1:21" x14ac:dyDescent="0.25">
      <c r="A716" s="1">
        <v>62430002</v>
      </c>
      <c r="B716" s="1">
        <v>212973</v>
      </c>
      <c r="C716" s="1" t="s">
        <v>1330</v>
      </c>
      <c r="D716" s="1" t="s">
        <v>325</v>
      </c>
      <c r="E716" s="1" t="s">
        <v>1331</v>
      </c>
      <c r="F716" s="1" t="s">
        <v>76</v>
      </c>
      <c r="G716" s="1" t="s">
        <v>23</v>
      </c>
      <c r="H716" s="1" t="s">
        <v>19</v>
      </c>
      <c r="I716" s="1" t="s">
        <v>151</v>
      </c>
      <c r="J716" s="1" t="s">
        <v>152</v>
      </c>
      <c r="K716" s="1" t="str">
        <f>VLOOKUP(J716,'IU Major Match'!$D$2:$E$65,2,FALSE)</f>
        <v>Major Dont exists in IU</v>
      </c>
      <c r="L716" s="1">
        <v>76138694</v>
      </c>
      <c r="M716" s="1" t="s">
        <v>113</v>
      </c>
      <c r="N716" s="11">
        <v>105</v>
      </c>
      <c r="O716" s="11">
        <v>20</v>
      </c>
      <c r="P716" s="11">
        <v>12</v>
      </c>
      <c r="Q716" s="11">
        <v>73</v>
      </c>
      <c r="R716" s="5">
        <f t="shared" si="44"/>
        <v>0.30476190476190479</v>
      </c>
      <c r="S716" s="13" t="str">
        <f t="shared" si="45"/>
        <v>=&lt;50</v>
      </c>
      <c r="T716" s="14">
        <f t="shared" si="46"/>
        <v>5</v>
      </c>
      <c r="U716" s="14">
        <f t="shared" si="47"/>
        <v>2.5</v>
      </c>
    </row>
    <row r="717" spans="1:21" x14ac:dyDescent="0.25">
      <c r="A717" s="1">
        <v>62530170</v>
      </c>
      <c r="B717" s="1">
        <v>223948</v>
      </c>
      <c r="C717" s="1" t="s">
        <v>1332</v>
      </c>
      <c r="D717" s="1" t="s">
        <v>1333</v>
      </c>
      <c r="E717" s="1" t="s">
        <v>212</v>
      </c>
      <c r="F717" s="1" t="s">
        <v>76</v>
      </c>
      <c r="G717" s="1" t="s">
        <v>18</v>
      </c>
      <c r="H717" s="1" t="s">
        <v>19</v>
      </c>
      <c r="I717" s="1" t="s">
        <v>171</v>
      </c>
      <c r="J717" s="1" t="s">
        <v>172</v>
      </c>
      <c r="K717" s="1" t="str">
        <f>VLOOKUP(J717,'IU Major Match'!$D$2:$E$65,2,FALSE)</f>
        <v>Can be Transferred to Bachelor of Engineering</v>
      </c>
      <c r="L717" s="1">
        <v>70527540</v>
      </c>
      <c r="M717" s="1" t="s">
        <v>99</v>
      </c>
      <c r="N717" s="11">
        <v>108</v>
      </c>
      <c r="O717" s="11">
        <v>21</v>
      </c>
      <c r="P717" s="11">
        <v>16</v>
      </c>
      <c r="Q717" s="11">
        <v>71</v>
      </c>
      <c r="R717" s="5">
        <f t="shared" si="44"/>
        <v>0.34259259259259262</v>
      </c>
      <c r="S717" s="13" t="str">
        <f t="shared" si="45"/>
        <v>=&lt;50</v>
      </c>
      <c r="T717" s="14">
        <f t="shared" si="46"/>
        <v>5</v>
      </c>
      <c r="U717" s="14">
        <f t="shared" si="47"/>
        <v>2.5</v>
      </c>
    </row>
    <row r="718" spans="1:21" x14ac:dyDescent="0.25">
      <c r="A718" s="1">
        <v>62530002</v>
      </c>
      <c r="B718" s="1">
        <v>221975</v>
      </c>
      <c r="C718" s="1" t="s">
        <v>1334</v>
      </c>
      <c r="D718" s="1" t="s">
        <v>695</v>
      </c>
      <c r="E718" s="1" t="s">
        <v>696</v>
      </c>
      <c r="F718" s="1" t="s">
        <v>76</v>
      </c>
      <c r="G718" s="1" t="s">
        <v>200</v>
      </c>
      <c r="H718" s="1" t="s">
        <v>19</v>
      </c>
      <c r="I718" s="1" t="s">
        <v>201</v>
      </c>
      <c r="J718" s="1" t="s">
        <v>202</v>
      </c>
      <c r="K718" s="1" t="str">
        <f>VLOOKUP(J718,'IU Major Match'!$D$2:$E$65,2,FALSE)</f>
        <v>Major Dont exists in IU</v>
      </c>
      <c r="L718" s="1">
        <v>96176791487</v>
      </c>
      <c r="M718" s="1" t="s">
        <v>99</v>
      </c>
      <c r="N718" s="11">
        <v>65</v>
      </c>
      <c r="O718" s="11">
        <v>14</v>
      </c>
      <c r="P718" s="11">
        <v>11</v>
      </c>
      <c r="Q718" s="11">
        <v>40</v>
      </c>
      <c r="R718" s="5">
        <f t="shared" si="44"/>
        <v>0.38461538461538464</v>
      </c>
      <c r="S718" s="13" t="str">
        <f t="shared" si="45"/>
        <v>=&lt;50</v>
      </c>
      <c r="T718" s="14">
        <f t="shared" si="46"/>
        <v>3</v>
      </c>
      <c r="U718" s="14">
        <f t="shared" si="47"/>
        <v>1.5</v>
      </c>
    </row>
    <row r="719" spans="1:21" x14ac:dyDescent="0.25">
      <c r="A719" s="1">
        <v>62430085</v>
      </c>
      <c r="B719" s="1">
        <v>213473</v>
      </c>
      <c r="C719" s="1" t="s">
        <v>1335</v>
      </c>
      <c r="D719" s="1" t="s">
        <v>35</v>
      </c>
      <c r="E719" s="1" t="s">
        <v>462</v>
      </c>
      <c r="F719" s="1" t="s">
        <v>76</v>
      </c>
      <c r="G719" s="1" t="s">
        <v>200</v>
      </c>
      <c r="H719" s="1" t="s">
        <v>19</v>
      </c>
      <c r="I719" s="1" t="s">
        <v>201</v>
      </c>
      <c r="J719" s="1" t="s">
        <v>202</v>
      </c>
      <c r="K719" s="1" t="str">
        <f>VLOOKUP(J719,'IU Major Match'!$D$2:$E$65,2,FALSE)</f>
        <v>Major Dont exists in IU</v>
      </c>
      <c r="L719" s="1">
        <v>81562219</v>
      </c>
      <c r="M719" s="1" t="s">
        <v>113</v>
      </c>
      <c r="N719" s="11">
        <v>65</v>
      </c>
      <c r="O719" s="11">
        <v>26</v>
      </c>
      <c r="P719" s="11">
        <v>13</v>
      </c>
      <c r="Q719" s="11">
        <v>26</v>
      </c>
      <c r="R719" s="5">
        <f t="shared" si="44"/>
        <v>0.6</v>
      </c>
      <c r="S719" s="13" t="str">
        <f t="shared" si="45"/>
        <v>&gt;50</v>
      </c>
      <c r="T719" s="14">
        <f t="shared" si="46"/>
        <v>2</v>
      </c>
      <c r="U719" s="14">
        <f t="shared" si="47"/>
        <v>1</v>
      </c>
    </row>
    <row r="720" spans="1:21" x14ac:dyDescent="0.25">
      <c r="A720" s="1">
        <v>62430134</v>
      </c>
      <c r="B720" s="1">
        <v>210638</v>
      </c>
      <c r="C720" s="1" t="s">
        <v>1335</v>
      </c>
      <c r="D720" s="1" t="s">
        <v>261</v>
      </c>
      <c r="E720" s="1" t="s">
        <v>388</v>
      </c>
      <c r="F720" s="1" t="s">
        <v>76</v>
      </c>
      <c r="G720" s="1" t="s">
        <v>68</v>
      </c>
      <c r="H720" s="1" t="s">
        <v>19</v>
      </c>
      <c r="I720" s="1" t="s">
        <v>474</v>
      </c>
      <c r="J720" s="1" t="s">
        <v>475</v>
      </c>
      <c r="K720" s="1" t="str">
        <f>VLOOKUP(J720,'IU Major Match'!$D$2:$E$65,2,FALSE)</f>
        <v xml:space="preserve">Major exists in IU </v>
      </c>
      <c r="L720" s="1">
        <v>96170996329</v>
      </c>
      <c r="M720" s="1" t="s">
        <v>113</v>
      </c>
      <c r="N720" s="11">
        <v>99</v>
      </c>
      <c r="O720" s="11">
        <v>18</v>
      </c>
      <c r="P720" s="11">
        <v>12</v>
      </c>
      <c r="Q720" s="11">
        <v>69</v>
      </c>
      <c r="R720" s="5">
        <f t="shared" si="44"/>
        <v>0.30303030303030304</v>
      </c>
      <c r="S720" s="13" t="str">
        <f t="shared" si="45"/>
        <v>=&lt;50</v>
      </c>
      <c r="T720" s="14">
        <f t="shared" si="46"/>
        <v>5</v>
      </c>
      <c r="U720" s="14">
        <f t="shared" si="47"/>
        <v>2.5</v>
      </c>
    </row>
    <row r="721" spans="1:21" x14ac:dyDescent="0.25">
      <c r="A721" s="1">
        <v>62030131</v>
      </c>
      <c r="B721" s="1">
        <v>154306</v>
      </c>
      <c r="C721" s="1" t="s">
        <v>1335</v>
      </c>
      <c r="D721" s="1" t="s">
        <v>224</v>
      </c>
      <c r="E721" s="1" t="s">
        <v>399</v>
      </c>
      <c r="F721" s="1" t="s">
        <v>76</v>
      </c>
      <c r="G721" s="1" t="s">
        <v>23</v>
      </c>
      <c r="H721" s="1" t="s">
        <v>19</v>
      </c>
      <c r="I721" s="1" t="s">
        <v>159</v>
      </c>
      <c r="J721" s="1" t="s">
        <v>160</v>
      </c>
      <c r="K721" s="1" t="str">
        <f>VLOOKUP(J721,'IU Major Match'!$D$2:$E$65,2,FALSE)</f>
        <v xml:space="preserve">Major exists in IU </v>
      </c>
      <c r="L721" s="1">
        <v>96170017008</v>
      </c>
      <c r="M721" s="1" t="s">
        <v>51</v>
      </c>
      <c r="N721" s="11">
        <v>99</v>
      </c>
      <c r="O721" s="11">
        <v>93</v>
      </c>
      <c r="P721" s="11">
        <v>6</v>
      </c>
      <c r="Q721" s="11">
        <v>0</v>
      </c>
      <c r="R721" s="5">
        <f t="shared" si="44"/>
        <v>1</v>
      </c>
      <c r="S721" s="13" t="str">
        <f t="shared" si="45"/>
        <v>&gt;50</v>
      </c>
      <c r="T721" s="14">
        <f t="shared" si="46"/>
        <v>0</v>
      </c>
      <c r="U721" s="14">
        <f t="shared" si="47"/>
        <v>0</v>
      </c>
    </row>
    <row r="722" spans="1:21" x14ac:dyDescent="0.25">
      <c r="A722" s="1">
        <v>62430059</v>
      </c>
      <c r="B722" s="1">
        <v>209721</v>
      </c>
      <c r="C722" s="1" t="s">
        <v>1335</v>
      </c>
      <c r="D722" s="1" t="s">
        <v>1336</v>
      </c>
      <c r="E722" s="1" t="s">
        <v>1337</v>
      </c>
      <c r="F722" s="1" t="s">
        <v>76</v>
      </c>
      <c r="G722" s="1" t="s">
        <v>68</v>
      </c>
      <c r="H722" s="1" t="s">
        <v>19</v>
      </c>
      <c r="I722" s="1" t="s">
        <v>331</v>
      </c>
      <c r="J722" s="1" t="s">
        <v>332</v>
      </c>
      <c r="K722" s="1" t="str">
        <f>VLOOKUP(J722,'IU Major Match'!$D$2:$E$65,2,FALSE)</f>
        <v>Major Dont exists in IU</v>
      </c>
      <c r="L722" s="1">
        <v>81270601</v>
      </c>
      <c r="M722" s="1" t="s">
        <v>113</v>
      </c>
      <c r="N722" s="11">
        <v>99</v>
      </c>
      <c r="O722" s="11">
        <v>24</v>
      </c>
      <c r="P722" s="11">
        <v>12</v>
      </c>
      <c r="Q722" s="11">
        <v>63</v>
      </c>
      <c r="R722" s="5">
        <f t="shared" si="44"/>
        <v>0.36363636363636365</v>
      </c>
      <c r="S722" s="13" t="str">
        <f t="shared" si="45"/>
        <v>=&lt;50</v>
      </c>
      <c r="T722" s="14">
        <f t="shared" si="46"/>
        <v>5</v>
      </c>
      <c r="U722" s="14">
        <f t="shared" si="47"/>
        <v>2.5</v>
      </c>
    </row>
    <row r="723" spans="1:21" x14ac:dyDescent="0.25">
      <c r="A723" s="1">
        <v>62520002</v>
      </c>
      <c r="B723" s="1">
        <v>218950</v>
      </c>
      <c r="C723" s="1" t="s">
        <v>1338</v>
      </c>
      <c r="D723" s="1" t="s">
        <v>1339</v>
      </c>
      <c r="E723" s="1" t="s">
        <v>1340</v>
      </c>
      <c r="F723" s="1" t="s">
        <v>76</v>
      </c>
      <c r="G723" s="1" t="s">
        <v>23</v>
      </c>
      <c r="H723" s="1" t="s">
        <v>19</v>
      </c>
      <c r="I723" s="1" t="s">
        <v>250</v>
      </c>
      <c r="J723" s="1" t="s">
        <v>251</v>
      </c>
      <c r="K723" s="1" t="str">
        <f>VLOOKUP(J723,'IU Major Match'!$D$2:$E$65,2,FALSE)</f>
        <v xml:space="preserve">Major exists in IU </v>
      </c>
      <c r="L723" s="1">
        <v>96176877404</v>
      </c>
      <c r="M723" s="1" t="s">
        <v>749</v>
      </c>
      <c r="N723" s="11">
        <v>99</v>
      </c>
      <c r="O723" s="11">
        <v>21</v>
      </c>
      <c r="P723" s="11">
        <v>15</v>
      </c>
      <c r="Q723" s="11">
        <v>63</v>
      </c>
      <c r="R723" s="5">
        <f t="shared" si="44"/>
        <v>0.36363636363636365</v>
      </c>
      <c r="S723" s="13" t="str">
        <f t="shared" si="45"/>
        <v>=&lt;50</v>
      </c>
      <c r="T723" s="14">
        <f t="shared" si="46"/>
        <v>5</v>
      </c>
      <c r="U723" s="14">
        <f t="shared" si="47"/>
        <v>2.5</v>
      </c>
    </row>
    <row r="724" spans="1:21" x14ac:dyDescent="0.25">
      <c r="A724" s="1">
        <v>62430271</v>
      </c>
      <c r="B724" s="1">
        <v>215210</v>
      </c>
      <c r="C724" s="1" t="s">
        <v>1341</v>
      </c>
      <c r="D724" s="1" t="s">
        <v>691</v>
      </c>
      <c r="E724" s="1" t="s">
        <v>1342</v>
      </c>
      <c r="F724" s="1" t="s">
        <v>76</v>
      </c>
      <c r="G724" s="1" t="s">
        <v>23</v>
      </c>
      <c r="H724" s="1" t="s">
        <v>19</v>
      </c>
      <c r="I724" s="1" t="s">
        <v>1142</v>
      </c>
      <c r="J724" s="1" t="s">
        <v>1143</v>
      </c>
      <c r="K724" s="1" t="str">
        <f>VLOOKUP(J724,'IU Major Match'!$D$2:$E$65,2,FALSE)</f>
        <v xml:space="preserve">Major exists in IU </v>
      </c>
      <c r="L724" s="1">
        <v>96181805172</v>
      </c>
      <c r="M724" s="1" t="s">
        <v>113</v>
      </c>
      <c r="N724" s="11">
        <v>100</v>
      </c>
      <c r="O724" s="11">
        <v>21</v>
      </c>
      <c r="P724" s="11">
        <v>12</v>
      </c>
      <c r="Q724" s="11">
        <v>67</v>
      </c>
      <c r="R724" s="5">
        <f t="shared" si="44"/>
        <v>0.33</v>
      </c>
      <c r="S724" s="13" t="str">
        <f t="shared" si="45"/>
        <v>=&lt;50</v>
      </c>
      <c r="T724" s="14">
        <f t="shared" si="46"/>
        <v>5</v>
      </c>
      <c r="U724" s="14">
        <f t="shared" si="47"/>
        <v>2.5</v>
      </c>
    </row>
    <row r="725" spans="1:21" x14ac:dyDescent="0.25">
      <c r="A725" s="1">
        <v>62430230</v>
      </c>
      <c r="B725" s="1">
        <v>214181</v>
      </c>
      <c r="C725" s="1" t="s">
        <v>1343</v>
      </c>
      <c r="D725" s="1" t="s">
        <v>336</v>
      </c>
      <c r="E725" s="1" t="s">
        <v>199</v>
      </c>
      <c r="F725" s="1" t="s">
        <v>76</v>
      </c>
      <c r="G725" s="1" t="s">
        <v>23</v>
      </c>
      <c r="H725" s="1" t="s">
        <v>19</v>
      </c>
      <c r="I725" s="1" t="s">
        <v>116</v>
      </c>
      <c r="J725" s="1" t="s">
        <v>117</v>
      </c>
      <c r="K725" s="1" t="str">
        <f>VLOOKUP(J725,'IU Major Match'!$D$2:$E$65,2,FALSE)</f>
        <v>Major Dont exists in IU</v>
      </c>
      <c r="L725" s="1">
        <v>70392642</v>
      </c>
      <c r="M725" s="1" t="s">
        <v>113</v>
      </c>
      <c r="N725" s="11">
        <v>99</v>
      </c>
      <c r="O725" s="11">
        <v>17</v>
      </c>
      <c r="P725" s="11">
        <v>17</v>
      </c>
      <c r="Q725" s="11">
        <v>65</v>
      </c>
      <c r="R725" s="5">
        <f t="shared" si="44"/>
        <v>0.34343434343434343</v>
      </c>
      <c r="S725" s="13" t="str">
        <f t="shared" si="45"/>
        <v>=&lt;50</v>
      </c>
      <c r="T725" s="14">
        <f t="shared" si="46"/>
        <v>5</v>
      </c>
      <c r="U725" s="14">
        <f t="shared" si="47"/>
        <v>2.5</v>
      </c>
    </row>
    <row r="726" spans="1:21" x14ac:dyDescent="0.25">
      <c r="A726" s="1">
        <v>62430182</v>
      </c>
      <c r="B726" s="1">
        <v>214170</v>
      </c>
      <c r="C726" s="1" t="s">
        <v>1344</v>
      </c>
      <c r="D726" s="1" t="s">
        <v>731</v>
      </c>
      <c r="E726" s="1" t="s">
        <v>1345</v>
      </c>
      <c r="F726" s="1" t="s">
        <v>76</v>
      </c>
      <c r="G726" s="1" t="s">
        <v>23</v>
      </c>
      <c r="H726" s="1" t="s">
        <v>19</v>
      </c>
      <c r="I726" s="1" t="s">
        <v>103</v>
      </c>
      <c r="J726" s="1" t="s">
        <v>104</v>
      </c>
      <c r="K726" s="1" t="str">
        <f>VLOOKUP(J726,'IU Major Match'!$D$2:$E$65,2,FALSE)</f>
        <v xml:space="preserve">Major exists in IU </v>
      </c>
      <c r="L726" s="1">
        <v>96176608545</v>
      </c>
      <c r="M726" s="1" t="s">
        <v>113</v>
      </c>
      <c r="N726" s="11">
        <v>100</v>
      </c>
      <c r="O726" s="11">
        <v>23</v>
      </c>
      <c r="P726" s="11">
        <v>12</v>
      </c>
      <c r="Q726" s="11">
        <v>65</v>
      </c>
      <c r="R726" s="5">
        <f t="shared" si="44"/>
        <v>0.35</v>
      </c>
      <c r="S726" s="13" t="str">
        <f t="shared" si="45"/>
        <v>=&lt;50</v>
      </c>
      <c r="T726" s="14">
        <f t="shared" si="46"/>
        <v>5</v>
      </c>
      <c r="U726" s="14">
        <f t="shared" si="47"/>
        <v>2.5</v>
      </c>
    </row>
    <row r="727" spans="1:21" x14ac:dyDescent="0.25">
      <c r="A727" s="1">
        <v>62430263</v>
      </c>
      <c r="B727" s="1">
        <v>215201</v>
      </c>
      <c r="C727" s="1" t="s">
        <v>1346</v>
      </c>
      <c r="D727" s="1" t="s">
        <v>43</v>
      </c>
      <c r="E727" s="1" t="s">
        <v>1347</v>
      </c>
      <c r="F727" s="1" t="s">
        <v>76</v>
      </c>
      <c r="G727" s="1" t="s">
        <v>23</v>
      </c>
      <c r="H727" s="1" t="s">
        <v>19</v>
      </c>
      <c r="I727" s="1" t="s">
        <v>103</v>
      </c>
      <c r="J727" s="1" t="s">
        <v>104</v>
      </c>
      <c r="K727" s="1" t="str">
        <f>VLOOKUP(J727,'IU Major Match'!$D$2:$E$65,2,FALSE)</f>
        <v xml:space="preserve">Major exists in IU </v>
      </c>
      <c r="L727" s="1">
        <v>81146988</v>
      </c>
      <c r="M727" s="1" t="s">
        <v>113</v>
      </c>
      <c r="N727" s="11">
        <v>100</v>
      </c>
      <c r="O727" s="11">
        <v>12</v>
      </c>
      <c r="P727" s="11">
        <v>9</v>
      </c>
      <c r="Q727" s="11">
        <v>79</v>
      </c>
      <c r="R727" s="5">
        <f t="shared" si="44"/>
        <v>0.21</v>
      </c>
      <c r="S727" s="13" t="str">
        <f t="shared" si="45"/>
        <v>=&lt;50</v>
      </c>
      <c r="T727" s="14">
        <f t="shared" si="46"/>
        <v>6</v>
      </c>
      <c r="U727" s="14">
        <f t="shared" si="47"/>
        <v>3</v>
      </c>
    </row>
    <row r="728" spans="1:21" x14ac:dyDescent="0.25">
      <c r="A728" s="1">
        <v>62530014</v>
      </c>
      <c r="B728" s="1">
        <v>219389</v>
      </c>
      <c r="C728" s="1" t="s">
        <v>1348</v>
      </c>
      <c r="D728" s="1" t="s">
        <v>451</v>
      </c>
      <c r="E728" s="1" t="s">
        <v>1349</v>
      </c>
      <c r="F728" s="1" t="s">
        <v>76</v>
      </c>
      <c r="G728" s="1" t="s">
        <v>23</v>
      </c>
      <c r="H728" s="1" t="s">
        <v>19</v>
      </c>
      <c r="I728" s="1" t="s">
        <v>226</v>
      </c>
      <c r="J728" s="1" t="s">
        <v>227</v>
      </c>
      <c r="K728" s="1" t="str">
        <f>VLOOKUP(J728,'IU Major Match'!$D$2:$E$65,2,FALSE)</f>
        <v>Major Dont exists in IU</v>
      </c>
      <c r="L728" s="1">
        <v>76445361</v>
      </c>
      <c r="M728" s="1" t="s">
        <v>99</v>
      </c>
      <c r="N728" s="11">
        <v>99</v>
      </c>
      <c r="O728" s="11">
        <v>8</v>
      </c>
      <c r="P728" s="11">
        <v>16</v>
      </c>
      <c r="Q728" s="11">
        <v>75</v>
      </c>
      <c r="R728" s="5">
        <f t="shared" si="44"/>
        <v>0.24242424242424243</v>
      </c>
      <c r="S728" s="13" t="str">
        <f t="shared" si="45"/>
        <v>=&lt;50</v>
      </c>
      <c r="T728" s="14">
        <f t="shared" si="46"/>
        <v>5</v>
      </c>
      <c r="U728" s="14">
        <f t="shared" si="47"/>
        <v>2.5</v>
      </c>
    </row>
    <row r="729" spans="1:21" x14ac:dyDescent="0.25">
      <c r="A729" s="1">
        <v>62210018</v>
      </c>
      <c r="B729" s="1">
        <v>181810</v>
      </c>
      <c r="C729" s="1" t="s">
        <v>1350</v>
      </c>
      <c r="D729" s="1" t="s">
        <v>177</v>
      </c>
      <c r="E729" s="1" t="s">
        <v>1351</v>
      </c>
      <c r="F729" s="1" t="s">
        <v>76</v>
      </c>
      <c r="G729" s="1" t="s">
        <v>93</v>
      </c>
      <c r="H729" s="1" t="s">
        <v>19</v>
      </c>
      <c r="I729" s="1" t="s">
        <v>107</v>
      </c>
      <c r="J729" s="1" t="s">
        <v>108</v>
      </c>
      <c r="K729" s="1" t="str">
        <f>VLOOKUP(J729,'IU Major Match'!$D$2:$E$65,2,FALSE)</f>
        <v xml:space="preserve">Major exists in IU </v>
      </c>
      <c r="L729" s="1">
        <v>96176692863</v>
      </c>
      <c r="M729" s="1" t="s">
        <v>387</v>
      </c>
      <c r="N729" s="11">
        <v>99</v>
      </c>
      <c r="O729" s="11">
        <v>60</v>
      </c>
      <c r="P729" s="11">
        <v>15</v>
      </c>
      <c r="Q729" s="11">
        <v>24</v>
      </c>
      <c r="R729" s="5">
        <f t="shared" si="44"/>
        <v>0.75757575757575757</v>
      </c>
      <c r="S729" s="13" t="str">
        <f t="shared" si="45"/>
        <v>&gt;50</v>
      </c>
      <c r="T729" s="14">
        <f t="shared" si="46"/>
        <v>2</v>
      </c>
      <c r="U729" s="14">
        <f t="shared" si="47"/>
        <v>1</v>
      </c>
    </row>
    <row r="730" spans="1:21" x14ac:dyDescent="0.25">
      <c r="A730" s="1">
        <v>62330022</v>
      </c>
      <c r="B730" s="1">
        <v>198765</v>
      </c>
      <c r="C730" s="1" t="s">
        <v>1350</v>
      </c>
      <c r="D730" s="1" t="s">
        <v>418</v>
      </c>
      <c r="E730" s="1" t="s">
        <v>1352</v>
      </c>
      <c r="F730" s="1" t="s">
        <v>76</v>
      </c>
      <c r="G730" s="1" t="s">
        <v>93</v>
      </c>
      <c r="H730" s="1" t="s">
        <v>19</v>
      </c>
      <c r="I730" s="1" t="s">
        <v>94</v>
      </c>
      <c r="J730" s="1" t="s">
        <v>95</v>
      </c>
      <c r="K730" s="1" t="str">
        <f>VLOOKUP(J730,'IU Major Match'!$D$2:$E$65,2,FALSE)</f>
        <v xml:space="preserve">Major exists in IU </v>
      </c>
      <c r="L730" s="1">
        <v>96181569919</v>
      </c>
      <c r="M730" s="1" t="s">
        <v>90</v>
      </c>
      <c r="N730" s="11">
        <v>99</v>
      </c>
      <c r="O730" s="11">
        <v>90</v>
      </c>
      <c r="P730" s="11">
        <v>9</v>
      </c>
      <c r="Q730" s="11">
        <v>0</v>
      </c>
      <c r="R730" s="5">
        <f t="shared" si="44"/>
        <v>1</v>
      </c>
      <c r="S730" s="13" t="str">
        <f t="shared" si="45"/>
        <v>&gt;50</v>
      </c>
      <c r="T730" s="14">
        <f t="shared" si="46"/>
        <v>0</v>
      </c>
      <c r="U730" s="14">
        <f t="shared" si="47"/>
        <v>0</v>
      </c>
    </row>
    <row r="731" spans="1:21" x14ac:dyDescent="0.25">
      <c r="A731" s="1">
        <v>62130111</v>
      </c>
      <c r="B731" s="1">
        <v>197451</v>
      </c>
      <c r="C731" s="1" t="s">
        <v>1350</v>
      </c>
      <c r="D731" s="1" t="s">
        <v>140</v>
      </c>
      <c r="E731" s="1" t="s">
        <v>1353</v>
      </c>
      <c r="F731" s="1" t="s">
        <v>76</v>
      </c>
      <c r="G731" s="1" t="s">
        <v>93</v>
      </c>
      <c r="H731" s="1" t="s">
        <v>19</v>
      </c>
      <c r="I731" s="1" t="s">
        <v>94</v>
      </c>
      <c r="J731" s="1" t="s">
        <v>95</v>
      </c>
      <c r="K731" s="1" t="str">
        <f>VLOOKUP(J731,'IU Major Match'!$D$2:$E$65,2,FALSE)</f>
        <v xml:space="preserve">Major exists in IU </v>
      </c>
      <c r="L731" s="1">
        <v>71069967</v>
      </c>
      <c r="M731" s="1" t="s">
        <v>178</v>
      </c>
      <c r="N731" s="11">
        <v>99</v>
      </c>
      <c r="O731" s="11">
        <v>48</v>
      </c>
      <c r="P731" s="11">
        <v>12</v>
      </c>
      <c r="Q731" s="11">
        <v>0</v>
      </c>
      <c r="R731" s="5">
        <f t="shared" si="44"/>
        <v>0.60606060606060608</v>
      </c>
      <c r="S731" s="13" t="str">
        <f t="shared" si="45"/>
        <v>&gt;50</v>
      </c>
      <c r="T731" s="14">
        <f t="shared" si="46"/>
        <v>0</v>
      </c>
      <c r="U731" s="14">
        <f t="shared" si="47"/>
        <v>0</v>
      </c>
    </row>
    <row r="732" spans="1:21" x14ac:dyDescent="0.25">
      <c r="A732" s="1">
        <v>62530020</v>
      </c>
      <c r="B732" s="1">
        <v>219157</v>
      </c>
      <c r="C732" s="1" t="s">
        <v>1354</v>
      </c>
      <c r="D732" s="1" t="s">
        <v>268</v>
      </c>
      <c r="E732" s="1" t="s">
        <v>1355</v>
      </c>
      <c r="F732" s="1" t="s">
        <v>76</v>
      </c>
      <c r="G732" s="1" t="s">
        <v>585</v>
      </c>
      <c r="H732" s="1" t="s">
        <v>19</v>
      </c>
      <c r="I732" s="1" t="s">
        <v>586</v>
      </c>
      <c r="J732" s="1" t="s">
        <v>587</v>
      </c>
      <c r="K732" s="1" t="str">
        <f>VLOOKUP(J732,'IU Major Match'!$D$2:$E$65,2,FALSE)</f>
        <v xml:space="preserve">Major exists in IU </v>
      </c>
      <c r="L732" s="1">
        <v>71644355</v>
      </c>
      <c r="M732" s="1" t="s">
        <v>99</v>
      </c>
      <c r="N732" s="11">
        <v>31</v>
      </c>
      <c r="O732" s="11">
        <v>16</v>
      </c>
      <c r="P732" s="11">
        <v>15</v>
      </c>
      <c r="Q732" s="11">
        <v>0</v>
      </c>
      <c r="R732" s="5">
        <f t="shared" si="44"/>
        <v>1</v>
      </c>
      <c r="S732" s="13" t="str">
        <f t="shared" si="45"/>
        <v>&gt;50</v>
      </c>
      <c r="T732" s="14">
        <f t="shared" si="46"/>
        <v>0</v>
      </c>
      <c r="U732" s="14">
        <f t="shared" si="47"/>
        <v>0</v>
      </c>
    </row>
    <row r="733" spans="1:21" x14ac:dyDescent="0.25">
      <c r="A733" s="1">
        <v>62230163</v>
      </c>
      <c r="B733" s="1">
        <v>187657</v>
      </c>
      <c r="C733" s="1" t="s">
        <v>355</v>
      </c>
      <c r="D733" s="1" t="s">
        <v>129</v>
      </c>
      <c r="E733" s="1" t="s">
        <v>399</v>
      </c>
      <c r="F733" s="1" t="s">
        <v>76</v>
      </c>
      <c r="G733" s="1" t="s">
        <v>23</v>
      </c>
      <c r="H733" s="1" t="s">
        <v>19</v>
      </c>
      <c r="I733" s="1" t="s">
        <v>103</v>
      </c>
      <c r="J733" s="1" t="s">
        <v>104</v>
      </c>
      <c r="K733" s="1" t="str">
        <f>VLOOKUP(J733,'IU Major Match'!$D$2:$E$65,2,FALSE)</f>
        <v xml:space="preserve">Major exists in IU </v>
      </c>
      <c r="L733" s="1">
        <v>3425673</v>
      </c>
      <c r="M733" s="1" t="s">
        <v>153</v>
      </c>
      <c r="N733" s="11">
        <v>100</v>
      </c>
      <c r="O733" s="11">
        <v>79</v>
      </c>
      <c r="P733" s="11">
        <v>9</v>
      </c>
      <c r="Q733" s="11">
        <v>12</v>
      </c>
      <c r="R733" s="5">
        <f t="shared" si="44"/>
        <v>0.88</v>
      </c>
      <c r="S733" s="13" t="str">
        <f t="shared" si="45"/>
        <v>&gt;50</v>
      </c>
      <c r="T733" s="14">
        <f t="shared" si="46"/>
        <v>1</v>
      </c>
      <c r="U733" s="14">
        <f t="shared" si="47"/>
        <v>0.5</v>
      </c>
    </row>
    <row r="734" spans="1:21" x14ac:dyDescent="0.25">
      <c r="A734" s="1">
        <v>62310029</v>
      </c>
      <c r="B734" s="1">
        <v>197320</v>
      </c>
      <c r="C734" s="1" t="s">
        <v>1356</v>
      </c>
      <c r="D734" s="1" t="s">
        <v>716</v>
      </c>
      <c r="E734" s="1" t="s">
        <v>1357</v>
      </c>
      <c r="F734" s="1" t="s">
        <v>76</v>
      </c>
      <c r="G734" s="1" t="s">
        <v>93</v>
      </c>
      <c r="H734" s="1" t="s">
        <v>19</v>
      </c>
      <c r="I734" s="1" t="s">
        <v>107</v>
      </c>
      <c r="J734" s="1" t="s">
        <v>108</v>
      </c>
      <c r="K734" s="1" t="str">
        <f>VLOOKUP(J734,'IU Major Match'!$D$2:$E$65,2,FALSE)</f>
        <v xml:space="preserve">Major exists in IU </v>
      </c>
      <c r="L734" s="1">
        <v>76406085</v>
      </c>
      <c r="M734" s="1" t="s">
        <v>178</v>
      </c>
      <c r="N734" s="11">
        <v>99</v>
      </c>
      <c r="O734" s="11">
        <v>69</v>
      </c>
      <c r="P734" s="11">
        <v>15</v>
      </c>
      <c r="Q734" s="11">
        <v>15</v>
      </c>
      <c r="R734" s="5">
        <f t="shared" si="44"/>
        <v>0.84848484848484851</v>
      </c>
      <c r="S734" s="13" t="str">
        <f t="shared" si="45"/>
        <v>&gt;50</v>
      </c>
      <c r="T734" s="14">
        <f t="shared" si="46"/>
        <v>1</v>
      </c>
      <c r="U734" s="14">
        <f t="shared" si="47"/>
        <v>0.5</v>
      </c>
    </row>
    <row r="735" spans="1:21" x14ac:dyDescent="0.25">
      <c r="A735" s="1">
        <v>62330045</v>
      </c>
      <c r="B735" s="1">
        <v>199090</v>
      </c>
      <c r="C735" s="1" t="s">
        <v>1356</v>
      </c>
      <c r="D735" s="1" t="s">
        <v>383</v>
      </c>
      <c r="E735" s="1" t="s">
        <v>1358</v>
      </c>
      <c r="F735" s="1" t="s">
        <v>76</v>
      </c>
      <c r="G735" s="1" t="s">
        <v>18</v>
      </c>
      <c r="H735" s="1" t="s">
        <v>19</v>
      </c>
      <c r="I735" s="1" t="s">
        <v>82</v>
      </c>
      <c r="J735" s="1" t="s">
        <v>83</v>
      </c>
      <c r="K735" s="1" t="str">
        <f>VLOOKUP(J735,'IU Major Match'!$D$2:$E$65,2,FALSE)</f>
        <v>Can be Transferred to Bachelor of Engineering</v>
      </c>
      <c r="L735" s="1">
        <v>81238049</v>
      </c>
      <c r="M735" s="1" t="s">
        <v>90</v>
      </c>
      <c r="N735" s="11">
        <v>108</v>
      </c>
      <c r="O735" s="11">
        <v>88</v>
      </c>
      <c r="P735" s="11">
        <v>17</v>
      </c>
      <c r="Q735" s="11">
        <v>3</v>
      </c>
      <c r="R735" s="5">
        <f t="shared" si="44"/>
        <v>0.97222222222222221</v>
      </c>
      <c r="S735" s="13" t="str">
        <f t="shared" si="45"/>
        <v>&gt;50</v>
      </c>
      <c r="T735" s="14">
        <f t="shared" si="46"/>
        <v>1</v>
      </c>
      <c r="U735" s="14">
        <f t="shared" si="47"/>
        <v>0.5</v>
      </c>
    </row>
    <row r="736" spans="1:21" x14ac:dyDescent="0.25">
      <c r="A736" s="1">
        <v>62330195</v>
      </c>
      <c r="B736" s="1">
        <v>215824</v>
      </c>
      <c r="C736" s="1" t="s">
        <v>1356</v>
      </c>
      <c r="D736" s="1" t="s">
        <v>391</v>
      </c>
      <c r="E736" s="1" t="s">
        <v>1359</v>
      </c>
      <c r="F736" s="1" t="s">
        <v>76</v>
      </c>
      <c r="G736" s="1" t="s">
        <v>23</v>
      </c>
      <c r="H736" s="1" t="s">
        <v>19</v>
      </c>
      <c r="I736" s="1" t="s">
        <v>250</v>
      </c>
      <c r="J736" s="1" t="s">
        <v>251</v>
      </c>
      <c r="K736" s="1" t="str">
        <f>VLOOKUP(J736,'IU Major Match'!$D$2:$E$65,2,FALSE)</f>
        <v xml:space="preserve">Major exists in IU </v>
      </c>
      <c r="L736" s="1">
        <v>71708269</v>
      </c>
      <c r="M736" s="1" t="s">
        <v>113</v>
      </c>
      <c r="N736" s="11">
        <v>99</v>
      </c>
      <c r="O736" s="11">
        <v>21</v>
      </c>
      <c r="P736" s="11">
        <v>12</v>
      </c>
      <c r="Q736" s="11">
        <v>66</v>
      </c>
      <c r="R736" s="5">
        <f t="shared" si="44"/>
        <v>0.33333333333333331</v>
      </c>
      <c r="S736" s="13" t="str">
        <f t="shared" si="45"/>
        <v>=&lt;50</v>
      </c>
      <c r="T736" s="14">
        <f t="shared" si="46"/>
        <v>5</v>
      </c>
      <c r="U736" s="14">
        <f t="shared" si="47"/>
        <v>2.5</v>
      </c>
    </row>
    <row r="737" spans="1:21" x14ac:dyDescent="0.25">
      <c r="A737" s="1">
        <v>62430145</v>
      </c>
      <c r="B737" s="1">
        <v>220458</v>
      </c>
      <c r="C737" s="1" t="s">
        <v>1360</v>
      </c>
      <c r="D737" s="1" t="s">
        <v>149</v>
      </c>
      <c r="E737" s="1" t="s">
        <v>1029</v>
      </c>
      <c r="F737" s="1" t="s">
        <v>76</v>
      </c>
      <c r="G737" s="1" t="s">
        <v>23</v>
      </c>
      <c r="H737" s="1" t="s">
        <v>19</v>
      </c>
      <c r="I737" s="1" t="s">
        <v>250</v>
      </c>
      <c r="J737" s="1" t="s">
        <v>251</v>
      </c>
      <c r="K737" s="1" t="str">
        <f>VLOOKUP(J737,'IU Major Match'!$D$2:$E$65,2,FALSE)</f>
        <v xml:space="preserve">Major exists in IU </v>
      </c>
      <c r="L737" s="1">
        <v>96171913672</v>
      </c>
      <c r="M737" s="1" t="s">
        <v>99</v>
      </c>
      <c r="N737" s="11">
        <v>99</v>
      </c>
      <c r="O737" s="11">
        <v>9</v>
      </c>
      <c r="P737" s="11">
        <v>9</v>
      </c>
      <c r="Q737" s="11">
        <v>6</v>
      </c>
      <c r="R737" s="5">
        <f t="shared" si="44"/>
        <v>0.18181818181818182</v>
      </c>
      <c r="S737" s="13" t="str">
        <f t="shared" si="45"/>
        <v>=&lt;50</v>
      </c>
      <c r="T737" s="14">
        <f t="shared" si="46"/>
        <v>1</v>
      </c>
      <c r="U737" s="14">
        <f t="shared" si="47"/>
        <v>0.5</v>
      </c>
    </row>
    <row r="738" spans="1:21" x14ac:dyDescent="0.25">
      <c r="A738" s="1">
        <v>62230065</v>
      </c>
      <c r="B738" s="1">
        <v>188639</v>
      </c>
      <c r="C738" s="1" t="s">
        <v>1361</v>
      </c>
      <c r="D738" s="1" t="s">
        <v>930</v>
      </c>
      <c r="E738" s="1" t="s">
        <v>1362</v>
      </c>
      <c r="F738" s="1" t="s">
        <v>76</v>
      </c>
      <c r="G738" s="1" t="s">
        <v>93</v>
      </c>
      <c r="H738" s="1" t="s">
        <v>19</v>
      </c>
      <c r="I738" s="1" t="s">
        <v>345</v>
      </c>
      <c r="J738" s="1" t="s">
        <v>346</v>
      </c>
      <c r="K738" s="1" t="str">
        <f>VLOOKUP(J738,'IU Major Match'!$D$2:$E$65,2,FALSE)</f>
        <v xml:space="preserve">Major exists in IU </v>
      </c>
      <c r="L738" s="1">
        <v>70173295</v>
      </c>
      <c r="M738" s="1" t="s">
        <v>153</v>
      </c>
      <c r="N738" s="11">
        <v>99</v>
      </c>
      <c r="O738" s="11">
        <v>54</v>
      </c>
      <c r="P738" s="11">
        <v>12</v>
      </c>
      <c r="Q738" s="11">
        <v>33</v>
      </c>
      <c r="R738" s="5">
        <f t="shared" si="44"/>
        <v>0.66666666666666663</v>
      </c>
      <c r="S738" s="13" t="str">
        <f t="shared" si="45"/>
        <v>&gt;50</v>
      </c>
      <c r="T738" s="14">
        <f t="shared" si="46"/>
        <v>3</v>
      </c>
      <c r="U738" s="14">
        <f t="shared" si="47"/>
        <v>1.5</v>
      </c>
    </row>
    <row r="739" spans="1:21" x14ac:dyDescent="0.25">
      <c r="A739" s="1">
        <v>62330017</v>
      </c>
      <c r="B739" s="1">
        <v>198754</v>
      </c>
      <c r="C739" s="1" t="s">
        <v>1363</v>
      </c>
      <c r="D739" s="1" t="s">
        <v>240</v>
      </c>
      <c r="E739" s="1" t="s">
        <v>1364</v>
      </c>
      <c r="F739" s="1" t="s">
        <v>76</v>
      </c>
      <c r="G739" s="1" t="s">
        <v>93</v>
      </c>
      <c r="H739" s="1" t="s">
        <v>19</v>
      </c>
      <c r="I739" s="1" t="s">
        <v>168</v>
      </c>
      <c r="J739" s="1" t="s">
        <v>169</v>
      </c>
      <c r="K739" s="1" t="str">
        <f>VLOOKUP(J739,'IU Major Match'!$D$2:$E$65,2,FALSE)</f>
        <v>Major Dont exists in IU</v>
      </c>
      <c r="L739" s="1">
        <v>96171588672</v>
      </c>
      <c r="M739" s="1" t="s">
        <v>90</v>
      </c>
      <c r="N739" s="11">
        <v>99</v>
      </c>
      <c r="O739" s="11">
        <v>66</v>
      </c>
      <c r="P739" s="11">
        <v>15</v>
      </c>
      <c r="Q739" s="11">
        <v>18</v>
      </c>
      <c r="R739" s="5">
        <f t="shared" si="44"/>
        <v>0.81818181818181823</v>
      </c>
      <c r="S739" s="13" t="str">
        <f t="shared" si="45"/>
        <v>&gt;50</v>
      </c>
      <c r="T739" s="14">
        <f t="shared" si="46"/>
        <v>2</v>
      </c>
      <c r="U739" s="14">
        <f t="shared" si="47"/>
        <v>1</v>
      </c>
    </row>
    <row r="740" spans="1:21" x14ac:dyDescent="0.25">
      <c r="A740" s="1">
        <v>62530210</v>
      </c>
      <c r="B740" s="1">
        <v>224531</v>
      </c>
      <c r="C740" s="1" t="s">
        <v>1365</v>
      </c>
      <c r="D740" s="1" t="s">
        <v>691</v>
      </c>
      <c r="E740" s="1" t="s">
        <v>1366</v>
      </c>
      <c r="F740" s="1" t="s">
        <v>76</v>
      </c>
      <c r="G740" s="1" t="s">
        <v>585</v>
      </c>
      <c r="H740" s="1" t="s">
        <v>19</v>
      </c>
      <c r="I740" s="1" t="s">
        <v>586</v>
      </c>
      <c r="J740" s="1" t="s">
        <v>587</v>
      </c>
      <c r="K740" s="1" t="str">
        <f>VLOOKUP(J740,'IU Major Match'!$D$2:$E$65,2,FALSE)</f>
        <v xml:space="preserve">Major exists in IU </v>
      </c>
      <c r="L740" s="1">
        <v>96171506125</v>
      </c>
      <c r="M740" s="1" t="s">
        <v>99</v>
      </c>
      <c r="N740" s="11">
        <v>31</v>
      </c>
      <c r="O740" s="11">
        <v>16</v>
      </c>
      <c r="P740" s="11">
        <v>15</v>
      </c>
      <c r="Q740" s="11">
        <v>3</v>
      </c>
      <c r="R740" s="5">
        <f t="shared" si="44"/>
        <v>1</v>
      </c>
      <c r="S740" s="13" t="str">
        <f t="shared" si="45"/>
        <v>&gt;50</v>
      </c>
      <c r="T740" s="14">
        <f t="shared" si="46"/>
        <v>1</v>
      </c>
      <c r="U740" s="14">
        <f t="shared" si="47"/>
        <v>0.5</v>
      </c>
    </row>
    <row r="741" spans="1:21" x14ac:dyDescent="0.25">
      <c r="A741" s="1">
        <v>62530186</v>
      </c>
      <c r="B741" s="1">
        <v>223902</v>
      </c>
      <c r="C741" s="1" t="s">
        <v>1367</v>
      </c>
      <c r="D741" s="1" t="s">
        <v>518</v>
      </c>
      <c r="E741" s="1" t="s">
        <v>1368</v>
      </c>
      <c r="F741" s="1" t="s">
        <v>76</v>
      </c>
      <c r="G741" s="1" t="s">
        <v>23</v>
      </c>
      <c r="H741" s="1" t="s">
        <v>19</v>
      </c>
      <c r="I741" s="1" t="s">
        <v>142</v>
      </c>
      <c r="J741" s="1" t="s">
        <v>143</v>
      </c>
      <c r="K741" s="1" t="str">
        <f>VLOOKUP(J741,'IU Major Match'!$D$2:$E$65,2,FALSE)</f>
        <v xml:space="preserve">Major exists in IU </v>
      </c>
      <c r="L741" s="1">
        <v>96178969156</v>
      </c>
      <c r="M741" s="1" t="s">
        <v>99</v>
      </c>
      <c r="N741" s="11">
        <v>99</v>
      </c>
      <c r="O741" s="11">
        <v>15</v>
      </c>
      <c r="P741" s="11">
        <v>18</v>
      </c>
      <c r="Q741" s="11">
        <v>66</v>
      </c>
      <c r="R741" s="5">
        <f t="shared" si="44"/>
        <v>0.33333333333333331</v>
      </c>
      <c r="S741" s="13" t="str">
        <f t="shared" si="45"/>
        <v>=&lt;50</v>
      </c>
      <c r="T741" s="14">
        <f t="shared" si="46"/>
        <v>5</v>
      </c>
      <c r="U741" s="14">
        <f t="shared" si="47"/>
        <v>2.5</v>
      </c>
    </row>
    <row r="742" spans="1:21" x14ac:dyDescent="0.25">
      <c r="A742" s="1">
        <v>61730174</v>
      </c>
      <c r="B742" s="1">
        <v>142237</v>
      </c>
      <c r="C742" s="1" t="s">
        <v>1367</v>
      </c>
      <c r="D742" s="1" t="s">
        <v>731</v>
      </c>
      <c r="E742" s="1" t="s">
        <v>1179</v>
      </c>
      <c r="F742" s="1" t="s">
        <v>76</v>
      </c>
      <c r="G742" s="1" t="s">
        <v>23</v>
      </c>
      <c r="H742" s="1" t="s">
        <v>19</v>
      </c>
      <c r="I742" s="1" t="s">
        <v>237</v>
      </c>
      <c r="J742" s="1" t="s">
        <v>238</v>
      </c>
      <c r="K742" s="1" t="str">
        <f>VLOOKUP(J742,'IU Major Match'!$D$2:$E$65,2,FALSE)</f>
        <v xml:space="preserve">Major exists in IU </v>
      </c>
      <c r="L742" s="1">
        <v>96171119216</v>
      </c>
      <c r="M742" s="1" t="s">
        <v>205</v>
      </c>
      <c r="N742" s="11">
        <v>108</v>
      </c>
      <c r="O742" s="11">
        <v>78</v>
      </c>
      <c r="P742" s="11">
        <v>15</v>
      </c>
      <c r="Q742" s="11">
        <v>24</v>
      </c>
      <c r="R742" s="5">
        <f t="shared" si="44"/>
        <v>0.86111111111111116</v>
      </c>
      <c r="S742" s="13" t="str">
        <f t="shared" si="45"/>
        <v>&gt;50</v>
      </c>
      <c r="T742" s="14">
        <f t="shared" si="46"/>
        <v>2</v>
      </c>
      <c r="U742" s="14">
        <f t="shared" si="47"/>
        <v>1</v>
      </c>
    </row>
    <row r="743" spans="1:21" x14ac:dyDescent="0.25">
      <c r="A743" s="1">
        <v>62330353</v>
      </c>
      <c r="B743" s="1">
        <v>207573</v>
      </c>
      <c r="C743" s="1" t="s">
        <v>447</v>
      </c>
      <c r="D743" s="1" t="s">
        <v>129</v>
      </c>
      <c r="E743" s="1" t="s">
        <v>1369</v>
      </c>
      <c r="F743" s="1" t="s">
        <v>76</v>
      </c>
      <c r="G743" s="1" t="s">
        <v>23</v>
      </c>
      <c r="H743" s="1" t="s">
        <v>19</v>
      </c>
      <c r="I743" s="1" t="s">
        <v>103</v>
      </c>
      <c r="J743" s="1" t="s">
        <v>104</v>
      </c>
      <c r="K743" s="1" t="str">
        <f>VLOOKUP(J743,'IU Major Match'!$D$2:$E$65,2,FALSE)</f>
        <v xml:space="preserve">Major exists in IU </v>
      </c>
      <c r="L743" s="1">
        <v>96176093448</v>
      </c>
      <c r="M743" s="1" t="s">
        <v>90</v>
      </c>
      <c r="N743" s="11">
        <v>100</v>
      </c>
      <c r="O743" s="11">
        <v>78</v>
      </c>
      <c r="P743" s="11">
        <v>3</v>
      </c>
      <c r="Q743" s="11">
        <v>19</v>
      </c>
      <c r="R743" s="5">
        <f t="shared" si="44"/>
        <v>0.81</v>
      </c>
      <c r="S743" s="13" t="str">
        <f t="shared" si="45"/>
        <v>&gt;50</v>
      </c>
      <c r="T743" s="14">
        <f t="shared" si="46"/>
        <v>2</v>
      </c>
      <c r="U743" s="14">
        <f t="shared" si="47"/>
        <v>1</v>
      </c>
    </row>
    <row r="744" spans="1:21" x14ac:dyDescent="0.25">
      <c r="A744" s="1">
        <v>62530163</v>
      </c>
      <c r="B744" s="1">
        <v>224939</v>
      </c>
      <c r="C744" s="1" t="s">
        <v>447</v>
      </c>
      <c r="D744" s="1" t="s">
        <v>898</v>
      </c>
      <c r="E744" s="1" t="s">
        <v>1370</v>
      </c>
      <c r="F744" s="1" t="s">
        <v>76</v>
      </c>
      <c r="G744" s="1" t="s">
        <v>18</v>
      </c>
      <c r="H744" s="1" t="s">
        <v>19</v>
      </c>
      <c r="I744" s="1" t="s">
        <v>82</v>
      </c>
      <c r="J744" s="1" t="s">
        <v>83</v>
      </c>
      <c r="K744" s="1" t="str">
        <f>VLOOKUP(J744,'IU Major Match'!$D$2:$E$65,2,FALSE)</f>
        <v>Can be Transferred to Bachelor of Engineering</v>
      </c>
      <c r="L744" s="1">
        <v>96170513228</v>
      </c>
      <c r="M744" s="1" t="s">
        <v>99</v>
      </c>
      <c r="N744" s="11">
        <v>108</v>
      </c>
      <c r="O744" s="11">
        <v>3</v>
      </c>
      <c r="P744" s="11">
        <v>19</v>
      </c>
      <c r="Q744" s="11">
        <v>105</v>
      </c>
      <c r="R744" s="5">
        <f t="shared" si="44"/>
        <v>0.20370370370370369</v>
      </c>
      <c r="S744" s="13" t="str">
        <f t="shared" si="45"/>
        <v>=&lt;50</v>
      </c>
      <c r="T744" s="14">
        <f t="shared" si="46"/>
        <v>7</v>
      </c>
      <c r="U744" s="14">
        <f t="shared" si="47"/>
        <v>3.5</v>
      </c>
    </row>
    <row r="745" spans="1:21" x14ac:dyDescent="0.25">
      <c r="A745" s="1">
        <v>62330043</v>
      </c>
      <c r="B745" s="1">
        <v>198753</v>
      </c>
      <c r="C745" s="1" t="s">
        <v>1371</v>
      </c>
      <c r="D745" s="1" t="s">
        <v>418</v>
      </c>
      <c r="E745" s="1" t="s">
        <v>765</v>
      </c>
      <c r="F745" s="1" t="s">
        <v>76</v>
      </c>
      <c r="G745" s="1" t="s">
        <v>23</v>
      </c>
      <c r="H745" s="1" t="s">
        <v>19</v>
      </c>
      <c r="I745" s="1" t="s">
        <v>88</v>
      </c>
      <c r="J745" s="1" t="s">
        <v>89</v>
      </c>
      <c r="K745" s="1" t="str">
        <f>VLOOKUP(J745,'IU Major Match'!$D$2:$E$65,2,FALSE)</f>
        <v xml:space="preserve">Major exists in IU </v>
      </c>
      <c r="L745" s="1">
        <v>96181890607</v>
      </c>
      <c r="M745" s="1" t="s">
        <v>90</v>
      </c>
      <c r="N745" s="11">
        <v>99</v>
      </c>
      <c r="O745" s="11">
        <v>58</v>
      </c>
      <c r="P745" s="11">
        <v>16</v>
      </c>
      <c r="Q745" s="11">
        <v>25</v>
      </c>
      <c r="R745" s="5">
        <f t="shared" si="44"/>
        <v>0.74747474747474751</v>
      </c>
      <c r="S745" s="13" t="str">
        <f t="shared" si="45"/>
        <v>&gt;50</v>
      </c>
      <c r="T745" s="14">
        <f t="shared" si="46"/>
        <v>2</v>
      </c>
      <c r="U745" s="14">
        <f t="shared" si="47"/>
        <v>1</v>
      </c>
    </row>
    <row r="746" spans="1:21" x14ac:dyDescent="0.25">
      <c r="A746" s="1">
        <v>62330215</v>
      </c>
      <c r="B746" s="1">
        <v>202623</v>
      </c>
      <c r="C746" s="1" t="s">
        <v>1372</v>
      </c>
      <c r="D746" s="1" t="s">
        <v>418</v>
      </c>
      <c r="E746" s="1" t="s">
        <v>1373</v>
      </c>
      <c r="F746" s="1" t="s">
        <v>76</v>
      </c>
      <c r="G746" s="1" t="s">
        <v>93</v>
      </c>
      <c r="H746" s="1" t="s">
        <v>19</v>
      </c>
      <c r="I746" s="1" t="s">
        <v>111</v>
      </c>
      <c r="J746" s="1" t="s">
        <v>112</v>
      </c>
      <c r="K746" s="1" t="str">
        <f>VLOOKUP(J746,'IU Major Match'!$D$2:$E$65,2,FALSE)</f>
        <v xml:space="preserve">Major exists in IU </v>
      </c>
      <c r="L746" s="1">
        <v>96181400275</v>
      </c>
      <c r="M746" s="1" t="s">
        <v>90</v>
      </c>
      <c r="N746" s="11">
        <v>99</v>
      </c>
      <c r="O746" s="11">
        <v>45</v>
      </c>
      <c r="P746" s="11">
        <v>12</v>
      </c>
      <c r="Q746" s="11">
        <v>42</v>
      </c>
      <c r="R746" s="5">
        <f t="shared" si="44"/>
        <v>0.5757575757575758</v>
      </c>
      <c r="S746" s="13" t="str">
        <f t="shared" si="45"/>
        <v>&gt;50</v>
      </c>
      <c r="T746" s="14">
        <f t="shared" si="46"/>
        <v>3</v>
      </c>
      <c r="U746" s="14">
        <f t="shared" si="47"/>
        <v>1.5</v>
      </c>
    </row>
    <row r="747" spans="1:21" x14ac:dyDescent="0.25">
      <c r="A747" s="1">
        <v>62410034</v>
      </c>
      <c r="B747" s="1">
        <v>208738</v>
      </c>
      <c r="C747" s="1" t="s">
        <v>1374</v>
      </c>
      <c r="D747" s="1" t="s">
        <v>948</v>
      </c>
      <c r="E747" s="1" t="s">
        <v>1375</v>
      </c>
      <c r="F747" s="1" t="s">
        <v>76</v>
      </c>
      <c r="G747" s="1" t="s">
        <v>93</v>
      </c>
      <c r="H747" s="1" t="s">
        <v>19</v>
      </c>
      <c r="I747" s="1" t="s">
        <v>168</v>
      </c>
      <c r="J747" s="1" t="s">
        <v>169</v>
      </c>
      <c r="K747" s="1" t="str">
        <f>VLOOKUP(J747,'IU Major Match'!$D$2:$E$65,2,FALSE)</f>
        <v>Major Dont exists in IU</v>
      </c>
      <c r="L747" s="1">
        <v>70556884</v>
      </c>
      <c r="M747" s="1" t="s">
        <v>362</v>
      </c>
      <c r="N747" s="11">
        <v>99</v>
      </c>
      <c r="O747" s="11">
        <v>72</v>
      </c>
      <c r="P747" s="11">
        <v>18</v>
      </c>
      <c r="Q747" s="11">
        <v>9</v>
      </c>
      <c r="R747" s="5">
        <f t="shared" si="44"/>
        <v>0.90909090909090906</v>
      </c>
      <c r="S747" s="13" t="str">
        <f t="shared" si="45"/>
        <v>&gt;50</v>
      </c>
      <c r="T747" s="14">
        <f t="shared" si="46"/>
        <v>1</v>
      </c>
      <c r="U747" s="14">
        <f t="shared" si="47"/>
        <v>0.5</v>
      </c>
    </row>
    <row r="748" spans="1:21" x14ac:dyDescent="0.25">
      <c r="A748" s="1">
        <v>62330151</v>
      </c>
      <c r="B748" s="1">
        <v>200549</v>
      </c>
      <c r="C748" s="1" t="s">
        <v>1376</v>
      </c>
      <c r="D748" s="1" t="s">
        <v>1377</v>
      </c>
      <c r="E748" s="1" t="s">
        <v>1378</v>
      </c>
      <c r="F748" s="1" t="s">
        <v>76</v>
      </c>
      <c r="G748" s="1" t="s">
        <v>23</v>
      </c>
      <c r="H748" s="1" t="s">
        <v>19</v>
      </c>
      <c r="I748" s="1" t="s">
        <v>88</v>
      </c>
      <c r="J748" s="1" t="s">
        <v>89</v>
      </c>
      <c r="K748" s="1" t="str">
        <f>VLOOKUP(J748,'IU Major Match'!$D$2:$E$65,2,FALSE)</f>
        <v xml:space="preserve">Major exists in IU </v>
      </c>
      <c r="L748" s="1">
        <v>96171179101</v>
      </c>
      <c r="M748" s="1" t="s">
        <v>90</v>
      </c>
      <c r="N748" s="11">
        <v>99</v>
      </c>
      <c r="O748" s="11">
        <v>78</v>
      </c>
      <c r="P748" s="11">
        <v>9</v>
      </c>
      <c r="Q748" s="11">
        <v>12</v>
      </c>
      <c r="R748" s="5">
        <f t="shared" si="44"/>
        <v>0.87878787878787878</v>
      </c>
      <c r="S748" s="13" t="str">
        <f t="shared" si="45"/>
        <v>&gt;50</v>
      </c>
      <c r="T748" s="14">
        <f t="shared" si="46"/>
        <v>1</v>
      </c>
      <c r="U748" s="14">
        <f t="shared" si="47"/>
        <v>0.5</v>
      </c>
    </row>
    <row r="749" spans="1:21" x14ac:dyDescent="0.25">
      <c r="A749" s="1">
        <v>62230293</v>
      </c>
      <c r="B749" s="1">
        <v>191066</v>
      </c>
      <c r="C749" s="1" t="s">
        <v>1379</v>
      </c>
      <c r="D749" s="1" t="s">
        <v>974</v>
      </c>
      <c r="E749" s="1" t="s">
        <v>1380</v>
      </c>
      <c r="F749" s="1" t="s">
        <v>76</v>
      </c>
      <c r="G749" s="1" t="s">
        <v>23</v>
      </c>
      <c r="H749" s="1" t="s">
        <v>19</v>
      </c>
      <c r="I749" s="1" t="s">
        <v>151</v>
      </c>
      <c r="J749" s="1" t="s">
        <v>152</v>
      </c>
      <c r="K749" s="1" t="str">
        <f>VLOOKUP(J749,'IU Major Match'!$D$2:$E$65,2,FALSE)</f>
        <v>Major Dont exists in IU</v>
      </c>
      <c r="L749" s="1">
        <v>76546774</v>
      </c>
      <c r="M749" s="1" t="s">
        <v>153</v>
      </c>
      <c r="N749" s="11">
        <v>105</v>
      </c>
      <c r="O749" s="11">
        <v>87</v>
      </c>
      <c r="P749" s="11">
        <v>18</v>
      </c>
      <c r="Q749" s="11">
        <v>0</v>
      </c>
      <c r="R749" s="5">
        <f t="shared" si="44"/>
        <v>1</v>
      </c>
      <c r="S749" s="13" t="str">
        <f t="shared" si="45"/>
        <v>&gt;50</v>
      </c>
      <c r="T749" s="14">
        <f t="shared" si="46"/>
        <v>0</v>
      </c>
      <c r="U749" s="14">
        <f t="shared" si="47"/>
        <v>0</v>
      </c>
    </row>
    <row r="750" spans="1:21" x14ac:dyDescent="0.25">
      <c r="A750" s="1">
        <v>62610027</v>
      </c>
      <c r="B750" s="1">
        <v>227590</v>
      </c>
      <c r="C750" s="1" t="s">
        <v>1381</v>
      </c>
      <c r="D750" s="1" t="s">
        <v>691</v>
      </c>
      <c r="E750" s="1" t="s">
        <v>452</v>
      </c>
      <c r="F750" s="1" t="s">
        <v>76</v>
      </c>
      <c r="G750" s="1" t="s">
        <v>68</v>
      </c>
      <c r="H750" s="1" t="s">
        <v>19</v>
      </c>
      <c r="I750" s="1" t="s">
        <v>844</v>
      </c>
      <c r="J750" s="1" t="s">
        <v>845</v>
      </c>
      <c r="K750" s="1" t="str">
        <f>VLOOKUP(J750,'IU Major Match'!$D$2:$E$65,2,FALSE)</f>
        <v xml:space="preserve">Major exists in IU </v>
      </c>
      <c r="L750" s="1">
        <v>70571801</v>
      </c>
      <c r="M750" s="1" t="s">
        <v>84</v>
      </c>
      <c r="N750" s="11">
        <v>99</v>
      </c>
      <c r="O750" s="11">
        <v>0</v>
      </c>
      <c r="P750" s="11">
        <v>12</v>
      </c>
      <c r="Q750" s="11">
        <v>93</v>
      </c>
      <c r="R750" s="5">
        <f t="shared" si="44"/>
        <v>0.12121212121212122</v>
      </c>
      <c r="S750" s="13" t="str">
        <f t="shared" si="45"/>
        <v>=&lt;50</v>
      </c>
      <c r="T750" s="14">
        <f t="shared" si="46"/>
        <v>7</v>
      </c>
      <c r="U750" s="14">
        <f t="shared" si="47"/>
        <v>3.5</v>
      </c>
    </row>
    <row r="751" spans="1:21" x14ac:dyDescent="0.25">
      <c r="A751" s="1">
        <v>62430084</v>
      </c>
      <c r="B751" s="1">
        <v>213040</v>
      </c>
      <c r="C751" s="1" t="s">
        <v>1382</v>
      </c>
      <c r="D751" s="1" t="s">
        <v>367</v>
      </c>
      <c r="E751" s="1" t="s">
        <v>1383</v>
      </c>
      <c r="F751" s="1" t="s">
        <v>76</v>
      </c>
      <c r="G751" s="1" t="s">
        <v>200</v>
      </c>
      <c r="H751" s="1" t="s">
        <v>19</v>
      </c>
      <c r="I751" s="1" t="s">
        <v>201</v>
      </c>
      <c r="J751" s="1" t="s">
        <v>202</v>
      </c>
      <c r="K751" s="1" t="str">
        <f>VLOOKUP(J751,'IU Major Match'!$D$2:$E$65,2,FALSE)</f>
        <v>Major Dont exists in IU</v>
      </c>
      <c r="L751" s="1">
        <v>71059134</v>
      </c>
      <c r="M751" s="1" t="s">
        <v>113</v>
      </c>
      <c r="N751" s="11">
        <v>65</v>
      </c>
      <c r="O751" s="11">
        <v>47</v>
      </c>
      <c r="P751" s="11">
        <v>15</v>
      </c>
      <c r="Q751" s="11">
        <v>3</v>
      </c>
      <c r="R751" s="5">
        <f t="shared" si="44"/>
        <v>0.9538461538461539</v>
      </c>
      <c r="S751" s="13" t="str">
        <f t="shared" si="45"/>
        <v>&gt;50</v>
      </c>
      <c r="T751" s="14">
        <f t="shared" si="46"/>
        <v>1</v>
      </c>
      <c r="U751" s="14">
        <f t="shared" si="47"/>
        <v>0.5</v>
      </c>
    </row>
    <row r="752" spans="1:21" x14ac:dyDescent="0.25">
      <c r="A752" s="1">
        <v>62130443</v>
      </c>
      <c r="B752" s="1">
        <v>176115</v>
      </c>
      <c r="C752" s="1" t="s">
        <v>1382</v>
      </c>
      <c r="D752" s="1" t="s">
        <v>509</v>
      </c>
      <c r="E752" s="1" t="s">
        <v>199</v>
      </c>
      <c r="F752" s="1" t="s">
        <v>76</v>
      </c>
      <c r="G752" s="1" t="s">
        <v>93</v>
      </c>
      <c r="H752" s="1" t="s">
        <v>19</v>
      </c>
      <c r="I752" s="1" t="s">
        <v>94</v>
      </c>
      <c r="J752" s="1" t="s">
        <v>95</v>
      </c>
      <c r="K752" s="1" t="str">
        <f>VLOOKUP(J752,'IU Major Match'!$D$2:$E$65,2,FALSE)</f>
        <v xml:space="preserve">Major exists in IU </v>
      </c>
      <c r="L752" s="1">
        <v>70404402</v>
      </c>
      <c r="M752" s="1" t="s">
        <v>79</v>
      </c>
      <c r="N752" s="11">
        <v>99</v>
      </c>
      <c r="O752" s="11">
        <v>72</v>
      </c>
      <c r="P752" s="11">
        <v>15</v>
      </c>
      <c r="Q752" s="11">
        <v>12</v>
      </c>
      <c r="R752" s="5">
        <f t="shared" si="44"/>
        <v>0.87878787878787878</v>
      </c>
      <c r="S752" s="13" t="str">
        <f t="shared" si="45"/>
        <v>&gt;50</v>
      </c>
      <c r="T752" s="14">
        <f t="shared" si="46"/>
        <v>1</v>
      </c>
      <c r="U752" s="14">
        <f t="shared" si="47"/>
        <v>0.5</v>
      </c>
    </row>
    <row r="753" spans="1:21" x14ac:dyDescent="0.25">
      <c r="A753" s="1">
        <v>62430042</v>
      </c>
      <c r="B753" s="1">
        <v>209476</v>
      </c>
      <c r="C753" s="1" t="s">
        <v>1382</v>
      </c>
      <c r="D753" s="1" t="s">
        <v>261</v>
      </c>
      <c r="E753" s="1" t="s">
        <v>938</v>
      </c>
      <c r="F753" s="1" t="s">
        <v>76</v>
      </c>
      <c r="G753" s="1" t="s">
        <v>23</v>
      </c>
      <c r="H753" s="1" t="s">
        <v>19</v>
      </c>
      <c r="I753" s="1" t="s">
        <v>88</v>
      </c>
      <c r="J753" s="1" t="s">
        <v>89</v>
      </c>
      <c r="K753" s="1" t="str">
        <f>VLOOKUP(J753,'IU Major Match'!$D$2:$E$65,2,FALSE)</f>
        <v xml:space="preserve">Major exists in IU </v>
      </c>
      <c r="L753" s="1">
        <v>96176929478</v>
      </c>
      <c r="M753" s="1" t="s">
        <v>113</v>
      </c>
      <c r="N753" s="11">
        <v>99</v>
      </c>
      <c r="O753" s="11">
        <v>49</v>
      </c>
      <c r="P753" s="11">
        <v>16</v>
      </c>
      <c r="Q753" s="11">
        <v>34</v>
      </c>
      <c r="R753" s="5">
        <f t="shared" si="44"/>
        <v>0.65656565656565657</v>
      </c>
      <c r="S753" s="13" t="str">
        <f t="shared" si="45"/>
        <v>&gt;50</v>
      </c>
      <c r="T753" s="14">
        <f t="shared" si="46"/>
        <v>3</v>
      </c>
      <c r="U753" s="14">
        <f t="shared" si="47"/>
        <v>1.5</v>
      </c>
    </row>
    <row r="754" spans="1:21" x14ac:dyDescent="0.25">
      <c r="A754" s="1">
        <v>62530125</v>
      </c>
      <c r="B754" s="1">
        <v>222245</v>
      </c>
      <c r="C754" s="1" t="s">
        <v>1382</v>
      </c>
      <c r="D754" s="1" t="s">
        <v>741</v>
      </c>
      <c r="E754" s="1" t="s">
        <v>1209</v>
      </c>
      <c r="F754" s="1" t="s">
        <v>76</v>
      </c>
      <c r="G754" s="1" t="s">
        <v>93</v>
      </c>
      <c r="H754" s="1" t="s">
        <v>19</v>
      </c>
      <c r="I754" s="1" t="s">
        <v>138</v>
      </c>
      <c r="J754" s="1" t="s">
        <v>139</v>
      </c>
      <c r="K754" s="1" t="str">
        <f>VLOOKUP(J754,'IU Major Match'!$D$2:$E$65,2,FALSE)</f>
        <v xml:space="preserve">Major exists in IU </v>
      </c>
      <c r="L754" s="1">
        <v>96181092657</v>
      </c>
      <c r="M754" s="1" t="s">
        <v>99</v>
      </c>
      <c r="N754" s="11">
        <v>99</v>
      </c>
      <c r="O754" s="11">
        <v>9</v>
      </c>
      <c r="P754" s="11">
        <v>16</v>
      </c>
      <c r="Q754" s="11">
        <v>78</v>
      </c>
      <c r="R754" s="5">
        <f t="shared" si="44"/>
        <v>0.25252525252525254</v>
      </c>
      <c r="S754" s="13" t="str">
        <f t="shared" si="45"/>
        <v>=&lt;50</v>
      </c>
      <c r="T754" s="14">
        <f t="shared" si="46"/>
        <v>6</v>
      </c>
      <c r="U754" s="14">
        <f t="shared" si="47"/>
        <v>3</v>
      </c>
    </row>
    <row r="755" spans="1:21" x14ac:dyDescent="0.25">
      <c r="A755" s="1">
        <v>62430068</v>
      </c>
      <c r="B755" s="1">
        <v>209716</v>
      </c>
      <c r="C755" s="1" t="s">
        <v>824</v>
      </c>
      <c r="D755" s="1" t="s">
        <v>1384</v>
      </c>
      <c r="E755" s="1" t="s">
        <v>1385</v>
      </c>
      <c r="F755" s="1" t="s">
        <v>76</v>
      </c>
      <c r="G755" s="1" t="s">
        <v>23</v>
      </c>
      <c r="H755" s="1" t="s">
        <v>19</v>
      </c>
      <c r="I755" s="1" t="s">
        <v>103</v>
      </c>
      <c r="J755" s="1" t="s">
        <v>104</v>
      </c>
      <c r="K755" s="1" t="str">
        <f>VLOOKUP(J755,'IU Major Match'!$D$2:$E$65,2,FALSE)</f>
        <v xml:space="preserve">Major exists in IU </v>
      </c>
      <c r="L755" s="1">
        <v>9613652436</v>
      </c>
      <c r="M755" s="1" t="s">
        <v>113</v>
      </c>
      <c r="N755" s="11">
        <v>100</v>
      </c>
      <c r="O755" s="11">
        <v>18</v>
      </c>
      <c r="P755" s="11">
        <v>10</v>
      </c>
      <c r="Q755" s="11">
        <v>72</v>
      </c>
      <c r="R755" s="5">
        <f t="shared" si="44"/>
        <v>0.28000000000000003</v>
      </c>
      <c r="S755" s="13" t="str">
        <f t="shared" si="45"/>
        <v>=&lt;50</v>
      </c>
      <c r="T755" s="14">
        <f t="shared" si="46"/>
        <v>5</v>
      </c>
      <c r="U755" s="14">
        <f t="shared" si="47"/>
        <v>2.5</v>
      </c>
    </row>
    <row r="756" spans="1:21" x14ac:dyDescent="0.25">
      <c r="A756" s="1">
        <v>62330090</v>
      </c>
      <c r="B756" s="1">
        <v>200449</v>
      </c>
      <c r="C756" s="1" t="s">
        <v>1386</v>
      </c>
      <c r="D756" s="1" t="s">
        <v>309</v>
      </c>
      <c r="E756" s="1" t="s">
        <v>1387</v>
      </c>
      <c r="F756" s="1" t="s">
        <v>76</v>
      </c>
      <c r="G756" s="1" t="s">
        <v>93</v>
      </c>
      <c r="H756" s="1" t="s">
        <v>19</v>
      </c>
      <c r="I756" s="1" t="s">
        <v>107</v>
      </c>
      <c r="J756" s="1" t="s">
        <v>108</v>
      </c>
      <c r="K756" s="1" t="str">
        <f>VLOOKUP(J756,'IU Major Match'!$D$2:$E$65,2,FALSE)</f>
        <v xml:space="preserve">Major exists in IU </v>
      </c>
      <c r="L756" s="1">
        <v>96170225518</v>
      </c>
      <c r="M756" s="1" t="s">
        <v>90</v>
      </c>
      <c r="N756" s="11">
        <v>99</v>
      </c>
      <c r="O756" s="11">
        <v>63</v>
      </c>
      <c r="P756" s="11">
        <v>18</v>
      </c>
      <c r="Q756" s="11">
        <v>18</v>
      </c>
      <c r="R756" s="5">
        <f t="shared" si="44"/>
        <v>0.81818181818181823</v>
      </c>
      <c r="S756" s="13" t="str">
        <f t="shared" si="45"/>
        <v>&gt;50</v>
      </c>
      <c r="T756" s="14">
        <f t="shared" si="46"/>
        <v>2</v>
      </c>
      <c r="U756" s="14">
        <f t="shared" si="47"/>
        <v>1</v>
      </c>
    </row>
    <row r="757" spans="1:21" x14ac:dyDescent="0.25">
      <c r="A757" s="1">
        <v>62130080</v>
      </c>
      <c r="B757" s="1">
        <v>167990</v>
      </c>
      <c r="C757" s="1" t="s">
        <v>1388</v>
      </c>
      <c r="D757" s="1" t="s">
        <v>670</v>
      </c>
      <c r="E757" s="1" t="s">
        <v>693</v>
      </c>
      <c r="F757" s="1" t="s">
        <v>76</v>
      </c>
      <c r="G757" s="1" t="s">
        <v>18</v>
      </c>
      <c r="H757" s="1" t="s">
        <v>19</v>
      </c>
      <c r="I757" s="1" t="s">
        <v>82</v>
      </c>
      <c r="J757" s="1" t="s">
        <v>83</v>
      </c>
      <c r="K757" s="1" t="str">
        <f>VLOOKUP(J757,'IU Major Match'!$D$2:$E$65,2,FALSE)</f>
        <v>Can be Transferred to Bachelor of Engineering</v>
      </c>
      <c r="L757" s="1">
        <v>76580899</v>
      </c>
      <c r="M757" s="1" t="s">
        <v>79</v>
      </c>
      <c r="N757" s="11">
        <v>108</v>
      </c>
      <c r="O757" s="11">
        <v>90</v>
      </c>
      <c r="P757" s="11">
        <v>18</v>
      </c>
      <c r="Q757" s="11">
        <v>0</v>
      </c>
      <c r="R757" s="5">
        <f t="shared" si="44"/>
        <v>1</v>
      </c>
      <c r="S757" s="13" t="str">
        <f t="shared" si="45"/>
        <v>&gt;50</v>
      </c>
      <c r="T757" s="14">
        <f t="shared" si="46"/>
        <v>0</v>
      </c>
      <c r="U757" s="14">
        <f t="shared" si="47"/>
        <v>0</v>
      </c>
    </row>
    <row r="758" spans="1:21" x14ac:dyDescent="0.25">
      <c r="A758" s="1">
        <v>62030329</v>
      </c>
      <c r="B758" s="1">
        <v>159429</v>
      </c>
      <c r="C758" s="1" t="s">
        <v>1389</v>
      </c>
      <c r="D758" s="1" t="s">
        <v>1178</v>
      </c>
      <c r="E758" s="1" t="s">
        <v>1390</v>
      </c>
      <c r="F758" s="1" t="s">
        <v>76</v>
      </c>
      <c r="G758" s="1" t="s">
        <v>93</v>
      </c>
      <c r="H758" s="1" t="s">
        <v>19</v>
      </c>
      <c r="I758" s="1" t="s">
        <v>111</v>
      </c>
      <c r="J758" s="1" t="s">
        <v>112</v>
      </c>
      <c r="K758" s="1" t="str">
        <f>VLOOKUP(J758,'IU Major Match'!$D$2:$E$65,2,FALSE)</f>
        <v xml:space="preserve">Major exists in IU </v>
      </c>
      <c r="L758" s="1">
        <v>71724090</v>
      </c>
      <c r="M758" s="1" t="s">
        <v>51</v>
      </c>
      <c r="N758" s="11">
        <v>99</v>
      </c>
      <c r="O758" s="11">
        <v>46</v>
      </c>
      <c r="P758" s="11">
        <v>18</v>
      </c>
      <c r="Q758" s="11">
        <v>36</v>
      </c>
      <c r="R758" s="5">
        <f t="shared" si="44"/>
        <v>0.64646464646464652</v>
      </c>
      <c r="S758" s="13" t="str">
        <f t="shared" si="45"/>
        <v>&gt;50</v>
      </c>
      <c r="T758" s="14">
        <f t="shared" si="46"/>
        <v>3</v>
      </c>
      <c r="U758" s="14">
        <f t="shared" si="47"/>
        <v>1.5</v>
      </c>
    </row>
    <row r="759" spans="1:21" x14ac:dyDescent="0.25">
      <c r="A759" s="1">
        <v>62530127</v>
      </c>
      <c r="B759" s="1">
        <v>221133</v>
      </c>
      <c r="C759" s="1" t="s">
        <v>305</v>
      </c>
      <c r="D759" s="1" t="s">
        <v>538</v>
      </c>
      <c r="E759" s="1" t="s">
        <v>1146</v>
      </c>
      <c r="F759" s="1" t="s">
        <v>76</v>
      </c>
      <c r="G759" s="1" t="s">
        <v>93</v>
      </c>
      <c r="H759" s="1" t="s">
        <v>19</v>
      </c>
      <c r="I759" s="1" t="s">
        <v>216</v>
      </c>
      <c r="J759" s="1" t="s">
        <v>217</v>
      </c>
      <c r="K759" s="1" t="str">
        <f>VLOOKUP(J759,'IU Major Match'!$D$2:$E$65,2,FALSE)</f>
        <v xml:space="preserve">Major exists in IU </v>
      </c>
      <c r="L759" s="1">
        <v>81340191</v>
      </c>
      <c r="M759" s="1" t="s">
        <v>99</v>
      </c>
      <c r="N759" s="11">
        <v>99</v>
      </c>
      <c r="O759" s="11">
        <v>6</v>
      </c>
      <c r="P759" s="11">
        <v>10</v>
      </c>
      <c r="Q759" s="11">
        <v>91</v>
      </c>
      <c r="R759" s="5">
        <f t="shared" si="44"/>
        <v>0.16161616161616163</v>
      </c>
      <c r="S759" s="13" t="str">
        <f t="shared" si="45"/>
        <v>=&lt;50</v>
      </c>
      <c r="T759" s="14">
        <f t="shared" si="46"/>
        <v>7</v>
      </c>
      <c r="U759" s="14">
        <f t="shared" si="47"/>
        <v>3.5</v>
      </c>
    </row>
    <row r="760" spans="1:21" x14ac:dyDescent="0.25">
      <c r="A760" s="1">
        <v>62430309</v>
      </c>
      <c r="B760" s="1">
        <v>216109</v>
      </c>
      <c r="C760" s="1" t="s">
        <v>680</v>
      </c>
      <c r="D760" s="1" t="s">
        <v>1391</v>
      </c>
      <c r="E760" s="1" t="s">
        <v>1392</v>
      </c>
      <c r="F760" s="1" t="s">
        <v>76</v>
      </c>
      <c r="G760" s="1" t="s">
        <v>23</v>
      </c>
      <c r="H760" s="1" t="s">
        <v>19</v>
      </c>
      <c r="I760" s="1" t="s">
        <v>159</v>
      </c>
      <c r="J760" s="1" t="s">
        <v>160</v>
      </c>
      <c r="K760" s="1" t="str">
        <f>VLOOKUP(J760,'IU Major Match'!$D$2:$E$65,2,FALSE)</f>
        <v xml:space="preserve">Major exists in IU </v>
      </c>
      <c r="L760" s="1">
        <v>96170771180</v>
      </c>
      <c r="M760" s="1" t="s">
        <v>113</v>
      </c>
      <c r="N760" s="11">
        <v>99</v>
      </c>
      <c r="O760" s="11">
        <v>3</v>
      </c>
      <c r="P760" s="11">
        <v>13</v>
      </c>
      <c r="Q760" s="11">
        <v>90</v>
      </c>
      <c r="R760" s="5">
        <f t="shared" si="44"/>
        <v>0.16161616161616163</v>
      </c>
      <c r="S760" s="13" t="str">
        <f t="shared" si="45"/>
        <v>=&lt;50</v>
      </c>
      <c r="T760" s="14">
        <f t="shared" si="46"/>
        <v>6</v>
      </c>
      <c r="U760" s="14">
        <f t="shared" si="47"/>
        <v>3</v>
      </c>
    </row>
    <row r="761" spans="1:21" x14ac:dyDescent="0.25">
      <c r="A761" s="1">
        <v>62530271</v>
      </c>
      <c r="B761" s="1">
        <v>226459</v>
      </c>
      <c r="C761" s="1" t="s">
        <v>805</v>
      </c>
      <c r="D761" s="1" t="s">
        <v>16</v>
      </c>
      <c r="E761" s="1" t="s">
        <v>1052</v>
      </c>
      <c r="F761" s="1" t="s">
        <v>76</v>
      </c>
      <c r="G761" s="1" t="s">
        <v>18</v>
      </c>
      <c r="H761" s="1" t="s">
        <v>19</v>
      </c>
      <c r="I761" s="1" t="s">
        <v>164</v>
      </c>
      <c r="J761" s="1" t="s">
        <v>165</v>
      </c>
      <c r="K761" s="1" t="str">
        <f>VLOOKUP(J761,'IU Major Match'!$D$2:$E$65,2,FALSE)</f>
        <v>Can be Transferred to Bachelor of Engineering</v>
      </c>
      <c r="L761" s="1">
        <v>96170971282</v>
      </c>
      <c r="M761" s="1" t="s">
        <v>99</v>
      </c>
      <c r="N761" s="11">
        <v>108</v>
      </c>
      <c r="O761" s="11">
        <v>3</v>
      </c>
      <c r="P761" s="11">
        <v>16</v>
      </c>
      <c r="Q761" s="11">
        <v>106</v>
      </c>
      <c r="R761" s="5">
        <f t="shared" si="44"/>
        <v>0.17592592592592593</v>
      </c>
      <c r="S761" s="13" t="str">
        <f t="shared" si="45"/>
        <v>=&lt;50</v>
      </c>
      <c r="T761" s="14">
        <f t="shared" si="46"/>
        <v>8</v>
      </c>
      <c r="U761" s="14">
        <f t="shared" si="47"/>
        <v>4</v>
      </c>
    </row>
    <row r="762" spans="1:21" x14ac:dyDescent="0.25">
      <c r="A762" s="1">
        <v>62530143</v>
      </c>
      <c r="B762" s="1">
        <v>222294</v>
      </c>
      <c r="C762" s="1" t="s">
        <v>1393</v>
      </c>
      <c r="D762" s="1" t="s">
        <v>805</v>
      </c>
      <c r="E762" s="1" t="s">
        <v>872</v>
      </c>
      <c r="F762" s="1" t="s">
        <v>76</v>
      </c>
      <c r="G762" s="1" t="s">
        <v>18</v>
      </c>
      <c r="H762" s="1" t="s">
        <v>19</v>
      </c>
      <c r="I762" s="1" t="s">
        <v>302</v>
      </c>
      <c r="J762" s="1" t="s">
        <v>303</v>
      </c>
      <c r="K762" s="1" t="str">
        <f>VLOOKUP(J762,'IU Major Match'!$D$2:$E$65,2,FALSE)</f>
        <v>Can be Transferred to Bachelor of Engineering</v>
      </c>
      <c r="L762" s="1">
        <v>96176804435</v>
      </c>
      <c r="M762" s="1" t="s">
        <v>99</v>
      </c>
      <c r="N762" s="11">
        <v>108</v>
      </c>
      <c r="O762" s="11">
        <v>7</v>
      </c>
      <c r="P762" s="11">
        <v>15</v>
      </c>
      <c r="Q762" s="11">
        <v>86</v>
      </c>
      <c r="R762" s="5">
        <f t="shared" si="44"/>
        <v>0.20370370370370369</v>
      </c>
      <c r="S762" s="13" t="str">
        <f t="shared" si="45"/>
        <v>=&lt;50</v>
      </c>
      <c r="T762" s="14">
        <f t="shared" si="46"/>
        <v>6</v>
      </c>
      <c r="U762" s="14">
        <f t="shared" si="47"/>
        <v>3</v>
      </c>
    </row>
    <row r="763" spans="1:21" x14ac:dyDescent="0.25">
      <c r="A763" s="1">
        <v>62230338</v>
      </c>
      <c r="B763" s="1">
        <v>191137</v>
      </c>
      <c r="C763" s="1" t="s">
        <v>1393</v>
      </c>
      <c r="D763" s="1" t="s">
        <v>1394</v>
      </c>
      <c r="E763" s="1" t="s">
        <v>1395</v>
      </c>
      <c r="F763" s="1" t="s">
        <v>76</v>
      </c>
      <c r="G763" s="1" t="s">
        <v>23</v>
      </c>
      <c r="H763" s="1" t="s">
        <v>19</v>
      </c>
      <c r="I763" s="1" t="s">
        <v>151</v>
      </c>
      <c r="J763" s="1" t="s">
        <v>152</v>
      </c>
      <c r="K763" s="1" t="str">
        <f>VLOOKUP(J763,'IU Major Match'!$D$2:$E$65,2,FALSE)</f>
        <v>Major Dont exists in IU</v>
      </c>
      <c r="L763" s="1">
        <v>3550209</v>
      </c>
      <c r="M763" s="1" t="s">
        <v>153</v>
      </c>
      <c r="N763" s="11">
        <v>105</v>
      </c>
      <c r="O763" s="11">
        <v>93</v>
      </c>
      <c r="P763" s="11">
        <v>6</v>
      </c>
      <c r="Q763" s="11">
        <v>6</v>
      </c>
      <c r="R763" s="5">
        <f t="shared" si="44"/>
        <v>0.94285714285714284</v>
      </c>
      <c r="S763" s="13" t="str">
        <f t="shared" si="45"/>
        <v>&gt;50</v>
      </c>
      <c r="T763" s="14">
        <f t="shared" si="46"/>
        <v>1</v>
      </c>
      <c r="U763" s="14">
        <f t="shared" si="47"/>
        <v>0.5</v>
      </c>
    </row>
    <row r="764" spans="1:21" x14ac:dyDescent="0.25">
      <c r="A764" s="1">
        <v>62230231</v>
      </c>
      <c r="B764" s="1">
        <v>189133</v>
      </c>
      <c r="C764" s="1" t="s">
        <v>1393</v>
      </c>
      <c r="D764" s="1" t="s">
        <v>513</v>
      </c>
      <c r="E764" s="1" t="s">
        <v>285</v>
      </c>
      <c r="F764" s="1" t="s">
        <v>76</v>
      </c>
      <c r="G764" s="1" t="s">
        <v>93</v>
      </c>
      <c r="H764" s="1" t="s">
        <v>19</v>
      </c>
      <c r="I764" s="1" t="s">
        <v>94</v>
      </c>
      <c r="J764" s="1" t="s">
        <v>95</v>
      </c>
      <c r="K764" s="1" t="str">
        <f>VLOOKUP(J764,'IU Major Match'!$D$2:$E$65,2,FALSE)</f>
        <v xml:space="preserve">Major exists in IU </v>
      </c>
      <c r="L764" s="1">
        <v>96178980195</v>
      </c>
      <c r="M764" s="1" t="s">
        <v>153</v>
      </c>
      <c r="N764" s="11">
        <v>99</v>
      </c>
      <c r="O764" s="11">
        <v>72</v>
      </c>
      <c r="P764" s="11">
        <v>18</v>
      </c>
      <c r="Q764" s="11">
        <v>9</v>
      </c>
      <c r="R764" s="5">
        <f t="shared" si="44"/>
        <v>0.90909090909090906</v>
      </c>
      <c r="S764" s="13" t="str">
        <f t="shared" si="45"/>
        <v>&gt;50</v>
      </c>
      <c r="T764" s="14">
        <f t="shared" si="46"/>
        <v>1</v>
      </c>
      <c r="U764" s="14">
        <f t="shared" si="47"/>
        <v>0.5</v>
      </c>
    </row>
    <row r="765" spans="1:21" x14ac:dyDescent="0.25">
      <c r="A765" s="1">
        <v>62430038</v>
      </c>
      <c r="B765" s="1">
        <v>209479</v>
      </c>
      <c r="C765" s="1" t="s">
        <v>1393</v>
      </c>
      <c r="D765" s="1" t="s">
        <v>38</v>
      </c>
      <c r="E765" s="1" t="s">
        <v>225</v>
      </c>
      <c r="F765" s="1" t="s">
        <v>76</v>
      </c>
      <c r="G765" s="1" t="s">
        <v>93</v>
      </c>
      <c r="H765" s="1" t="s">
        <v>19</v>
      </c>
      <c r="I765" s="1" t="s">
        <v>94</v>
      </c>
      <c r="J765" s="1" t="s">
        <v>95</v>
      </c>
      <c r="K765" s="1" t="str">
        <f>VLOOKUP(J765,'IU Major Match'!$D$2:$E$65,2,FALSE)</f>
        <v xml:space="preserve">Major exists in IU </v>
      </c>
      <c r="L765" s="1">
        <v>81406347</v>
      </c>
      <c r="M765" s="1" t="s">
        <v>113</v>
      </c>
      <c r="N765" s="11">
        <v>99</v>
      </c>
      <c r="O765" s="11">
        <v>48</v>
      </c>
      <c r="P765" s="11">
        <v>15</v>
      </c>
      <c r="Q765" s="11">
        <v>36</v>
      </c>
      <c r="R765" s="5">
        <f t="shared" si="44"/>
        <v>0.63636363636363635</v>
      </c>
      <c r="S765" s="13" t="str">
        <f t="shared" si="45"/>
        <v>&gt;50</v>
      </c>
      <c r="T765" s="14">
        <f t="shared" si="46"/>
        <v>3</v>
      </c>
      <c r="U765" s="14">
        <f t="shared" si="47"/>
        <v>1.5</v>
      </c>
    </row>
    <row r="766" spans="1:21" x14ac:dyDescent="0.25">
      <c r="A766" s="1">
        <v>62330029</v>
      </c>
      <c r="B766" s="1">
        <v>198751</v>
      </c>
      <c r="C766" s="1" t="s">
        <v>1393</v>
      </c>
      <c r="D766" s="1" t="s">
        <v>285</v>
      </c>
      <c r="E766" s="1" t="s">
        <v>167</v>
      </c>
      <c r="F766" s="1" t="s">
        <v>76</v>
      </c>
      <c r="G766" s="1" t="s">
        <v>93</v>
      </c>
      <c r="H766" s="1" t="s">
        <v>19</v>
      </c>
      <c r="I766" s="1" t="s">
        <v>124</v>
      </c>
      <c r="J766" s="1" t="s">
        <v>125</v>
      </c>
      <c r="K766" s="1" t="str">
        <f>VLOOKUP(J766,'IU Major Match'!$D$2:$E$65,2,FALSE)</f>
        <v xml:space="preserve">Major exists in IU </v>
      </c>
      <c r="L766" s="1">
        <v>96171456558</v>
      </c>
      <c r="M766" s="1" t="s">
        <v>90</v>
      </c>
      <c r="N766" s="11">
        <v>99</v>
      </c>
      <c r="O766" s="11">
        <v>27</v>
      </c>
      <c r="P766" s="11">
        <v>12</v>
      </c>
      <c r="Q766" s="11">
        <v>60</v>
      </c>
      <c r="R766" s="5">
        <f t="shared" si="44"/>
        <v>0.39393939393939392</v>
      </c>
      <c r="S766" s="13" t="str">
        <f t="shared" si="45"/>
        <v>=&lt;50</v>
      </c>
      <c r="T766" s="14">
        <f t="shared" si="46"/>
        <v>4</v>
      </c>
      <c r="U766" s="14">
        <f t="shared" si="47"/>
        <v>2</v>
      </c>
    </row>
    <row r="767" spans="1:21" x14ac:dyDescent="0.25">
      <c r="A767" s="1">
        <v>61930089</v>
      </c>
      <c r="B767" s="1">
        <v>197953</v>
      </c>
      <c r="C767" s="1" t="s">
        <v>1396</v>
      </c>
      <c r="D767" s="1" t="s">
        <v>1260</v>
      </c>
      <c r="E767" s="1" t="s">
        <v>1397</v>
      </c>
      <c r="F767" s="1" t="s">
        <v>76</v>
      </c>
      <c r="G767" s="1" t="s">
        <v>23</v>
      </c>
      <c r="H767" s="1" t="s">
        <v>19</v>
      </c>
      <c r="I767" s="1" t="s">
        <v>116</v>
      </c>
      <c r="J767" s="1" t="s">
        <v>117</v>
      </c>
      <c r="K767" s="1" t="str">
        <f>VLOOKUP(J767,'IU Major Match'!$D$2:$E$65,2,FALSE)</f>
        <v>Major Dont exists in IU</v>
      </c>
      <c r="L767" s="1">
        <v>76481497</v>
      </c>
      <c r="M767" s="1" t="s">
        <v>178</v>
      </c>
      <c r="N767" s="11">
        <v>99</v>
      </c>
      <c r="O767" s="11">
        <v>48</v>
      </c>
      <c r="P767" s="11">
        <v>3</v>
      </c>
      <c r="Q767" s="11">
        <v>48</v>
      </c>
      <c r="R767" s="5">
        <f t="shared" si="44"/>
        <v>0.51515151515151514</v>
      </c>
      <c r="S767" s="13" t="str">
        <f t="shared" si="45"/>
        <v>&gt;50</v>
      </c>
      <c r="T767" s="14">
        <f t="shared" si="46"/>
        <v>4</v>
      </c>
      <c r="U767" s="14">
        <f t="shared" si="47"/>
        <v>2</v>
      </c>
    </row>
    <row r="768" spans="1:21" x14ac:dyDescent="0.25">
      <c r="A768" s="1">
        <v>62230189</v>
      </c>
      <c r="B768" s="1">
        <v>187250</v>
      </c>
      <c r="C768" s="1" t="s">
        <v>1398</v>
      </c>
      <c r="D768" s="1" t="s">
        <v>1399</v>
      </c>
      <c r="E768" s="1" t="s">
        <v>610</v>
      </c>
      <c r="F768" s="1" t="s">
        <v>76</v>
      </c>
      <c r="G768" s="1" t="s">
        <v>23</v>
      </c>
      <c r="H768" s="1" t="s">
        <v>19</v>
      </c>
      <c r="I768" s="1" t="s">
        <v>116</v>
      </c>
      <c r="J768" s="1" t="s">
        <v>117</v>
      </c>
      <c r="K768" s="1" t="str">
        <f>VLOOKUP(J768,'IU Major Match'!$D$2:$E$65,2,FALSE)</f>
        <v>Major Dont exists in IU</v>
      </c>
      <c r="L768" s="1">
        <v>96171522520</v>
      </c>
      <c r="M768" s="1" t="s">
        <v>153</v>
      </c>
      <c r="N768" s="11">
        <v>99</v>
      </c>
      <c r="O768" s="11">
        <v>86</v>
      </c>
      <c r="P768" s="11">
        <v>13</v>
      </c>
      <c r="Q768" s="11">
        <v>0</v>
      </c>
      <c r="R768" s="5">
        <f t="shared" si="44"/>
        <v>1</v>
      </c>
      <c r="S768" s="13" t="str">
        <f t="shared" si="45"/>
        <v>&gt;50</v>
      </c>
      <c r="T768" s="14">
        <f t="shared" si="46"/>
        <v>0</v>
      </c>
      <c r="U768" s="14">
        <f t="shared" si="47"/>
        <v>0</v>
      </c>
    </row>
    <row r="769" spans="1:21" x14ac:dyDescent="0.25">
      <c r="A769" s="1">
        <v>62430250</v>
      </c>
      <c r="B769" s="1">
        <v>215071</v>
      </c>
      <c r="C769" s="1" t="s">
        <v>1400</v>
      </c>
      <c r="D769" s="1" t="s">
        <v>198</v>
      </c>
      <c r="E769" s="1" t="s">
        <v>1401</v>
      </c>
      <c r="F769" s="1" t="s">
        <v>76</v>
      </c>
      <c r="G769" s="1" t="s">
        <v>93</v>
      </c>
      <c r="H769" s="1" t="s">
        <v>19</v>
      </c>
      <c r="I769" s="1" t="s">
        <v>107</v>
      </c>
      <c r="J769" s="1" t="s">
        <v>108</v>
      </c>
      <c r="K769" s="1" t="str">
        <f>VLOOKUP(J769,'IU Major Match'!$D$2:$E$65,2,FALSE)</f>
        <v xml:space="preserve">Major exists in IU </v>
      </c>
      <c r="L769" s="1">
        <v>96170971470</v>
      </c>
      <c r="M769" s="1" t="s">
        <v>113</v>
      </c>
      <c r="N769" s="11">
        <v>99</v>
      </c>
      <c r="O769" s="11">
        <v>39</v>
      </c>
      <c r="P769" s="11">
        <v>15</v>
      </c>
      <c r="Q769" s="11">
        <v>45</v>
      </c>
      <c r="R769" s="5">
        <f t="shared" si="44"/>
        <v>0.54545454545454541</v>
      </c>
      <c r="S769" s="13" t="str">
        <f t="shared" si="45"/>
        <v>&gt;50</v>
      </c>
      <c r="T769" s="14">
        <f t="shared" si="46"/>
        <v>3</v>
      </c>
      <c r="U769" s="14">
        <f t="shared" si="47"/>
        <v>1.5</v>
      </c>
    </row>
    <row r="770" spans="1:21" x14ac:dyDescent="0.25">
      <c r="A770" s="1">
        <v>62430269</v>
      </c>
      <c r="B770" s="1">
        <v>225967</v>
      </c>
      <c r="C770" s="1" t="s">
        <v>1400</v>
      </c>
      <c r="D770" s="1" t="s">
        <v>190</v>
      </c>
      <c r="E770" s="1" t="s">
        <v>413</v>
      </c>
      <c r="F770" s="1" t="s">
        <v>76</v>
      </c>
      <c r="G770" s="1" t="s">
        <v>23</v>
      </c>
      <c r="H770" s="1" t="s">
        <v>19</v>
      </c>
      <c r="I770" s="1" t="s">
        <v>397</v>
      </c>
      <c r="J770" s="1" t="s">
        <v>398</v>
      </c>
      <c r="K770" s="1" t="str">
        <f>VLOOKUP(J770,'IU Major Match'!$D$2:$E$65,2,FALSE)</f>
        <v xml:space="preserve">Major exists in IU </v>
      </c>
      <c r="L770" s="1">
        <v>96171207708</v>
      </c>
      <c r="M770" s="1" t="s">
        <v>99</v>
      </c>
      <c r="N770" s="11">
        <v>99</v>
      </c>
      <c r="O770" s="11">
        <v>9</v>
      </c>
      <c r="P770" s="11">
        <v>16</v>
      </c>
      <c r="Q770" s="11">
        <v>0</v>
      </c>
      <c r="R770" s="5">
        <f t="shared" si="44"/>
        <v>0.25252525252525254</v>
      </c>
      <c r="S770" s="13" t="str">
        <f t="shared" si="45"/>
        <v>=&lt;50</v>
      </c>
      <c r="T770" s="14">
        <f t="shared" si="46"/>
        <v>0</v>
      </c>
      <c r="U770" s="14">
        <f t="shared" si="47"/>
        <v>0</v>
      </c>
    </row>
    <row r="771" spans="1:21" x14ac:dyDescent="0.25">
      <c r="A771" s="1">
        <v>62230285</v>
      </c>
      <c r="B771" s="1">
        <v>189805</v>
      </c>
      <c r="C771" s="1" t="s">
        <v>325</v>
      </c>
      <c r="D771" s="1" t="s">
        <v>547</v>
      </c>
      <c r="E771" s="1" t="s">
        <v>1402</v>
      </c>
      <c r="F771" s="1" t="s">
        <v>76</v>
      </c>
      <c r="G771" s="1" t="s">
        <v>23</v>
      </c>
      <c r="H771" s="1" t="s">
        <v>19</v>
      </c>
      <c r="I771" s="1" t="s">
        <v>103</v>
      </c>
      <c r="J771" s="1" t="s">
        <v>104</v>
      </c>
      <c r="K771" s="1" t="str">
        <f>VLOOKUP(J771,'IU Major Match'!$D$2:$E$65,2,FALSE)</f>
        <v xml:space="preserve">Major exists in IU </v>
      </c>
      <c r="L771" s="1">
        <v>96171253397</v>
      </c>
      <c r="M771" s="1" t="s">
        <v>153</v>
      </c>
      <c r="N771" s="11">
        <v>100</v>
      </c>
      <c r="O771" s="11">
        <v>55</v>
      </c>
      <c r="P771" s="11">
        <v>12</v>
      </c>
      <c r="Q771" s="11">
        <v>33</v>
      </c>
      <c r="R771" s="5">
        <f t="shared" ref="R771:R778" si="48">(O771+P771)/N771</f>
        <v>0.67</v>
      </c>
      <c r="S771" s="13" t="str">
        <f t="shared" ref="S771:S778" si="49">IF(R771&lt;=50%,"=&lt;50","&gt;50")</f>
        <v>&gt;50</v>
      </c>
      <c r="T771" s="14">
        <f t="shared" ref="T771:T778" si="50">ROUNDUP(Q771/15,0)</f>
        <v>3</v>
      </c>
      <c r="U771" s="14">
        <f t="shared" ref="U771:U778" si="51">T771/2</f>
        <v>1.5</v>
      </c>
    </row>
    <row r="772" spans="1:21" x14ac:dyDescent="0.25">
      <c r="A772" s="1">
        <v>62530001</v>
      </c>
      <c r="B772" s="1">
        <v>219384</v>
      </c>
      <c r="C772" s="1" t="s">
        <v>325</v>
      </c>
      <c r="D772" s="1" t="s">
        <v>119</v>
      </c>
      <c r="E772" s="1" t="s">
        <v>120</v>
      </c>
      <c r="F772" s="1" t="s">
        <v>76</v>
      </c>
      <c r="G772" s="1" t="s">
        <v>23</v>
      </c>
      <c r="H772" s="1" t="s">
        <v>19</v>
      </c>
      <c r="I772" s="1" t="s">
        <v>397</v>
      </c>
      <c r="J772" s="1" t="s">
        <v>398</v>
      </c>
      <c r="K772" s="1" t="str">
        <f>VLOOKUP(J772,'IU Major Match'!$D$2:$E$65,2,FALSE)</f>
        <v xml:space="preserve">Major exists in IU </v>
      </c>
      <c r="L772" s="1">
        <v>96176775414</v>
      </c>
      <c r="M772" s="1" t="s">
        <v>99</v>
      </c>
      <c r="N772" s="11">
        <v>99</v>
      </c>
      <c r="O772" s="11">
        <v>12</v>
      </c>
      <c r="P772" s="11">
        <v>7</v>
      </c>
      <c r="Q772" s="11">
        <v>81</v>
      </c>
      <c r="R772" s="5">
        <f t="shared" si="48"/>
        <v>0.19191919191919191</v>
      </c>
      <c r="S772" s="13" t="str">
        <f t="shared" si="49"/>
        <v>=&lt;50</v>
      </c>
      <c r="T772" s="14">
        <f t="shared" si="50"/>
        <v>6</v>
      </c>
      <c r="U772" s="14">
        <f t="shared" si="51"/>
        <v>3</v>
      </c>
    </row>
    <row r="773" spans="1:21" x14ac:dyDescent="0.25">
      <c r="A773" s="1">
        <v>12234912</v>
      </c>
      <c r="B773" s="1">
        <v>196326</v>
      </c>
      <c r="C773" s="1" t="s">
        <v>325</v>
      </c>
      <c r="D773" s="1" t="s">
        <v>1403</v>
      </c>
      <c r="E773" s="1" t="s">
        <v>1404</v>
      </c>
      <c r="F773" s="1" t="s">
        <v>76</v>
      </c>
      <c r="G773" s="1" t="s">
        <v>23</v>
      </c>
      <c r="H773" s="1" t="s">
        <v>19</v>
      </c>
      <c r="I773" s="1" t="s">
        <v>237</v>
      </c>
      <c r="J773" s="1" t="s">
        <v>238</v>
      </c>
      <c r="K773" s="1" t="str">
        <f>VLOOKUP(J773,'IU Major Match'!$D$2:$E$65,2,FALSE)</f>
        <v xml:space="preserve">Major exists in IU </v>
      </c>
      <c r="L773" s="1">
        <v>76400902</v>
      </c>
      <c r="M773" s="1" t="s">
        <v>153</v>
      </c>
      <c r="N773" s="11">
        <v>108</v>
      </c>
      <c r="O773" s="11">
        <v>42</v>
      </c>
      <c r="P773" s="11">
        <v>12</v>
      </c>
      <c r="Q773" s="11">
        <v>54</v>
      </c>
      <c r="R773" s="5">
        <f t="shared" si="48"/>
        <v>0.5</v>
      </c>
      <c r="S773" s="13" t="str">
        <f t="shared" si="49"/>
        <v>=&lt;50</v>
      </c>
      <c r="T773" s="14">
        <f t="shared" si="50"/>
        <v>4</v>
      </c>
      <c r="U773" s="14">
        <f t="shared" si="51"/>
        <v>2</v>
      </c>
    </row>
    <row r="774" spans="1:21" x14ac:dyDescent="0.25">
      <c r="A774" s="1">
        <v>62530034</v>
      </c>
      <c r="B774" s="1">
        <v>219163</v>
      </c>
      <c r="C774" s="1" t="s">
        <v>1405</v>
      </c>
      <c r="D774" s="1" t="s">
        <v>1053</v>
      </c>
      <c r="E774" s="1" t="s">
        <v>301</v>
      </c>
      <c r="F774" s="1" t="s">
        <v>76</v>
      </c>
      <c r="G774" s="1" t="s">
        <v>23</v>
      </c>
      <c r="H774" s="1" t="s">
        <v>19</v>
      </c>
      <c r="I774" s="1" t="s">
        <v>97</v>
      </c>
      <c r="J774" s="1" t="s">
        <v>98</v>
      </c>
      <c r="K774" s="1" t="str">
        <f>VLOOKUP(J774,'IU Major Match'!$D$2:$E$65,2,FALSE)</f>
        <v>Major Dont exists in IU</v>
      </c>
      <c r="L774" s="1">
        <v>81372325</v>
      </c>
      <c r="M774" s="1" t="s">
        <v>99</v>
      </c>
      <c r="N774" s="11">
        <v>105</v>
      </c>
      <c r="O774" s="11">
        <v>0</v>
      </c>
      <c r="P774" s="11">
        <v>15</v>
      </c>
      <c r="Q774" s="11">
        <v>94</v>
      </c>
      <c r="R774" s="5">
        <f t="shared" si="48"/>
        <v>0.14285714285714285</v>
      </c>
      <c r="S774" s="13" t="str">
        <f t="shared" si="49"/>
        <v>=&lt;50</v>
      </c>
      <c r="T774" s="14">
        <f t="shared" si="50"/>
        <v>7</v>
      </c>
      <c r="U774" s="14">
        <f t="shared" si="51"/>
        <v>3.5</v>
      </c>
    </row>
    <row r="775" spans="1:21" x14ac:dyDescent="0.25">
      <c r="A775" s="1">
        <v>62530146</v>
      </c>
      <c r="B775" s="1">
        <v>222270</v>
      </c>
      <c r="C775" s="1" t="s">
        <v>1406</v>
      </c>
      <c r="D775" s="1" t="s">
        <v>853</v>
      </c>
      <c r="E775" s="1" t="s">
        <v>1407</v>
      </c>
      <c r="F775" s="1" t="s">
        <v>76</v>
      </c>
      <c r="G775" s="1" t="s">
        <v>93</v>
      </c>
      <c r="H775" s="1" t="s">
        <v>19</v>
      </c>
      <c r="I775" s="1" t="s">
        <v>138</v>
      </c>
      <c r="J775" s="1" t="s">
        <v>139</v>
      </c>
      <c r="K775" s="1" t="str">
        <f>VLOOKUP(J775,'IU Major Match'!$D$2:$E$65,2,FALSE)</f>
        <v xml:space="preserve">Major exists in IU </v>
      </c>
      <c r="L775" s="1">
        <v>96178709543</v>
      </c>
      <c r="M775" s="1" t="s">
        <v>99</v>
      </c>
      <c r="N775" s="11">
        <v>99</v>
      </c>
      <c r="O775" s="11">
        <v>3</v>
      </c>
      <c r="P775" s="11">
        <v>13</v>
      </c>
      <c r="Q775" s="11">
        <v>91</v>
      </c>
      <c r="R775" s="5">
        <f t="shared" si="48"/>
        <v>0.16161616161616163</v>
      </c>
      <c r="S775" s="13" t="str">
        <f t="shared" si="49"/>
        <v>=&lt;50</v>
      </c>
      <c r="T775" s="14">
        <f t="shared" si="50"/>
        <v>7</v>
      </c>
      <c r="U775" s="14">
        <f t="shared" si="51"/>
        <v>3.5</v>
      </c>
    </row>
    <row r="776" spans="1:21" x14ac:dyDescent="0.25">
      <c r="A776" s="1">
        <v>62230051</v>
      </c>
      <c r="B776" s="1">
        <v>188607</v>
      </c>
      <c r="C776" s="1" t="s">
        <v>1408</v>
      </c>
      <c r="D776" s="1" t="s">
        <v>35</v>
      </c>
      <c r="E776" s="1" t="s">
        <v>1409</v>
      </c>
      <c r="F776" s="1" t="s">
        <v>76</v>
      </c>
      <c r="G776" s="1" t="s">
        <v>23</v>
      </c>
      <c r="H776" s="1" t="s">
        <v>19</v>
      </c>
      <c r="I776" s="1" t="s">
        <v>237</v>
      </c>
      <c r="J776" s="1" t="s">
        <v>238</v>
      </c>
      <c r="K776" s="1" t="str">
        <f>VLOOKUP(J776,'IU Major Match'!$D$2:$E$65,2,FALSE)</f>
        <v xml:space="preserve">Major exists in IU </v>
      </c>
      <c r="L776" s="1">
        <v>96181834132</v>
      </c>
      <c r="M776" s="1" t="s">
        <v>153</v>
      </c>
      <c r="N776" s="11">
        <v>108</v>
      </c>
      <c r="O776" s="11">
        <v>102</v>
      </c>
      <c r="P776" s="11">
        <v>6</v>
      </c>
      <c r="Q776" s="11">
        <v>0</v>
      </c>
      <c r="R776" s="5">
        <f t="shared" si="48"/>
        <v>1</v>
      </c>
      <c r="S776" s="13" t="str">
        <f t="shared" si="49"/>
        <v>&gt;50</v>
      </c>
      <c r="T776" s="14">
        <f t="shared" si="50"/>
        <v>0</v>
      </c>
      <c r="U776" s="14">
        <f t="shared" si="51"/>
        <v>0</v>
      </c>
    </row>
    <row r="777" spans="1:21" x14ac:dyDescent="0.25">
      <c r="A777" s="1">
        <v>62430303</v>
      </c>
      <c r="B777" s="1">
        <v>216012</v>
      </c>
      <c r="C777" s="1" t="s">
        <v>937</v>
      </c>
      <c r="D777" s="1" t="s">
        <v>1391</v>
      </c>
      <c r="E777" s="1" t="s">
        <v>1392</v>
      </c>
      <c r="F777" s="1" t="s">
        <v>76</v>
      </c>
      <c r="G777" s="1" t="s">
        <v>23</v>
      </c>
      <c r="H777" s="1" t="s">
        <v>19</v>
      </c>
      <c r="I777" s="1" t="s">
        <v>258</v>
      </c>
      <c r="J777" s="1" t="s">
        <v>259</v>
      </c>
      <c r="K777" s="1" t="str">
        <f>VLOOKUP(J777,'IU Major Match'!$D$2:$E$65,2,FALSE)</f>
        <v xml:space="preserve">Major exists in IU </v>
      </c>
      <c r="L777" s="1">
        <v>96181427455</v>
      </c>
      <c r="M777" s="1" t="s">
        <v>113</v>
      </c>
      <c r="N777" s="11">
        <v>108</v>
      </c>
      <c r="O777" s="11">
        <v>3</v>
      </c>
      <c r="P777" s="11">
        <v>10</v>
      </c>
      <c r="Q777" s="11">
        <v>106</v>
      </c>
      <c r="R777" s="5">
        <f t="shared" si="48"/>
        <v>0.12037037037037036</v>
      </c>
      <c r="S777" s="13" t="str">
        <f t="shared" si="49"/>
        <v>=&lt;50</v>
      </c>
      <c r="T777" s="14">
        <f t="shared" si="50"/>
        <v>8</v>
      </c>
      <c r="U777" s="14">
        <f t="shared" si="51"/>
        <v>4</v>
      </c>
    </row>
    <row r="778" spans="1:21" x14ac:dyDescent="0.25">
      <c r="A778" s="1">
        <v>62330078</v>
      </c>
      <c r="B778" s="1">
        <v>215186</v>
      </c>
      <c r="C778" s="1" t="s">
        <v>1410</v>
      </c>
      <c r="D778" s="1" t="s">
        <v>1411</v>
      </c>
      <c r="E778" s="1" t="s">
        <v>1412</v>
      </c>
      <c r="F778" s="1" t="s">
        <v>76</v>
      </c>
      <c r="G778" s="1" t="s">
        <v>93</v>
      </c>
      <c r="H778" s="1" t="s">
        <v>19</v>
      </c>
      <c r="I778" s="1" t="s">
        <v>184</v>
      </c>
      <c r="J778" s="1" t="s">
        <v>185</v>
      </c>
      <c r="K778" s="1" t="str">
        <f>VLOOKUP(J778,'IU Major Match'!$D$2:$E$65,2,FALSE)</f>
        <v>Major Dont exists in IU</v>
      </c>
      <c r="L778" s="1">
        <v>81132389</v>
      </c>
      <c r="M778" s="1" t="s">
        <v>113</v>
      </c>
      <c r="N778" s="11">
        <v>99</v>
      </c>
      <c r="O778" s="11">
        <v>30</v>
      </c>
      <c r="P778" s="11">
        <v>12</v>
      </c>
      <c r="Q778" s="11">
        <v>3</v>
      </c>
      <c r="R778" s="5">
        <f t="shared" si="48"/>
        <v>0.42424242424242425</v>
      </c>
      <c r="S778" s="13" t="str">
        <f t="shared" si="49"/>
        <v>=&lt;50</v>
      </c>
      <c r="T778" s="14">
        <f t="shared" si="50"/>
        <v>1</v>
      </c>
      <c r="U778" s="14">
        <f t="shared" si="51"/>
        <v>0.5</v>
      </c>
    </row>
  </sheetData>
  <autoFilter ref="A1:T778" xr:uid="{00000000-0009-0000-0000-000003000000}"/>
  <conditionalFormatting sqref="S2:S778">
    <cfRule type="endsWith" dxfId="1" priority="1" operator="endsWith" text="&lt;50">
      <formula>RIGHT(S2,LEN("&lt;50"))="&lt;50"</formula>
    </cfRule>
    <cfRule type="containsText" dxfId="0" priority="3" operator="containsText" text="&gt;50">
      <formula>NOT(ISERROR(SEARCH("&gt;50",S2)))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E48"/>
  <sheetViews>
    <sheetView tabSelected="1" workbookViewId="0">
      <selection activeCell="A19" sqref="A19"/>
    </sheetView>
    <sheetView workbookViewId="1">
      <selection activeCell="H52" sqref="H52"/>
    </sheetView>
  </sheetViews>
  <sheetFormatPr defaultRowHeight="15" x14ac:dyDescent="0.25"/>
  <cols>
    <col min="1" max="1" width="80.85546875" bestFit="1" customWidth="1"/>
    <col min="2" max="2" width="13.42578125" style="4" customWidth="1"/>
    <col min="3" max="3" width="16.28515625" style="4" customWidth="1"/>
    <col min="4" max="4" width="13.140625" style="4" customWidth="1"/>
    <col min="5" max="5" width="10.7109375" style="4" bestFit="1" customWidth="1"/>
    <col min="6" max="6" width="6.140625" bestFit="1" customWidth="1"/>
    <col min="7" max="7" width="5.42578125" bestFit="1" customWidth="1"/>
    <col min="8" max="8" width="44.5703125" bestFit="1" customWidth="1"/>
    <col min="9" max="9" width="22.140625" bestFit="1" customWidth="1"/>
    <col min="10" max="10" width="6" bestFit="1" customWidth="1"/>
    <col min="11" max="11" width="5.85546875" bestFit="1" customWidth="1"/>
    <col min="12" max="12" width="6.5703125" bestFit="1" customWidth="1"/>
    <col min="13" max="13" width="4.85546875" bestFit="1" customWidth="1"/>
    <col min="14" max="14" width="5.42578125" bestFit="1" customWidth="1"/>
    <col min="15" max="15" width="5" bestFit="1" customWidth="1"/>
    <col min="16" max="16" width="25" bestFit="1" customWidth="1"/>
    <col min="17" max="17" width="17.85546875" bestFit="1" customWidth="1"/>
    <col min="18" max="18" width="6.5703125" bestFit="1" customWidth="1"/>
    <col min="19" max="19" width="6.140625" bestFit="1" customWidth="1"/>
    <col min="20" max="20" width="6.42578125" bestFit="1" customWidth="1"/>
    <col min="21" max="21" width="5.140625" bestFit="1" customWidth="1"/>
    <col min="22" max="22" width="7.42578125" bestFit="1" customWidth="1"/>
    <col min="23" max="23" width="7" bestFit="1" customWidth="1"/>
    <col min="24" max="24" width="5.5703125" bestFit="1" customWidth="1"/>
    <col min="25" max="25" width="4.5703125" bestFit="1" customWidth="1"/>
    <col min="26" max="26" width="6.42578125" bestFit="1" customWidth="1"/>
    <col min="27" max="28" width="5.85546875" bestFit="1" customWidth="1"/>
    <col min="29" max="29" width="5.140625" bestFit="1" customWidth="1"/>
    <col min="30" max="30" width="5.7109375" bestFit="1" customWidth="1"/>
    <col min="31" max="31" width="5.42578125" bestFit="1" customWidth="1"/>
    <col min="32" max="33" width="4.42578125" bestFit="1" customWidth="1"/>
    <col min="34" max="34" width="4.85546875" bestFit="1" customWidth="1"/>
    <col min="35" max="35" width="5.28515625" bestFit="1" customWidth="1"/>
    <col min="36" max="36" width="4.5703125" bestFit="1" customWidth="1"/>
    <col min="37" max="37" width="5.42578125" bestFit="1" customWidth="1"/>
    <col min="38" max="38" width="5.140625" bestFit="1" customWidth="1"/>
    <col min="39" max="39" width="4.85546875" bestFit="1" customWidth="1"/>
    <col min="40" max="40" width="5" bestFit="1" customWidth="1"/>
    <col min="41" max="41" width="20.7109375" bestFit="1" customWidth="1"/>
    <col min="42" max="42" width="10.7109375" bestFit="1" customWidth="1"/>
  </cols>
  <sheetData>
    <row r="1" spans="1:5" x14ac:dyDescent="0.25">
      <c r="A1" s="6" t="s">
        <v>1714</v>
      </c>
      <c r="B1" s="4" t="s">
        <v>1721</v>
      </c>
    </row>
    <row r="3" spans="1:5" ht="21.6" customHeight="1" x14ac:dyDescent="0.25">
      <c r="A3" s="6" t="s">
        <v>1715</v>
      </c>
      <c r="B3" s="16" t="s">
        <v>1720</v>
      </c>
    </row>
    <row r="4" spans="1:5" ht="60.6" customHeight="1" x14ac:dyDescent="0.25">
      <c r="A4" s="19" t="s">
        <v>1726</v>
      </c>
      <c r="B4" s="20" t="s">
        <v>1725</v>
      </c>
      <c r="C4" s="21" t="s">
        <v>1708</v>
      </c>
      <c r="D4" s="21" t="s">
        <v>1707</v>
      </c>
      <c r="E4" s="14" t="s">
        <v>1717</v>
      </c>
    </row>
    <row r="5" spans="1:5" x14ac:dyDescent="0.25">
      <c r="A5" s="15" t="s">
        <v>23</v>
      </c>
      <c r="B5" s="13"/>
      <c r="C5" s="13">
        <v>55</v>
      </c>
      <c r="D5" s="13">
        <v>136</v>
      </c>
      <c r="E5" s="13">
        <v>191</v>
      </c>
    </row>
    <row r="6" spans="1:5" x14ac:dyDescent="0.25">
      <c r="A6" s="17" t="s">
        <v>361</v>
      </c>
      <c r="B6" s="13"/>
      <c r="C6" s="13"/>
      <c r="D6" s="13">
        <v>6</v>
      </c>
      <c r="E6" s="13">
        <v>6</v>
      </c>
    </row>
    <row r="7" spans="1:5" x14ac:dyDescent="0.25">
      <c r="A7" s="17" t="s">
        <v>439</v>
      </c>
      <c r="B7" s="13"/>
      <c r="C7" s="13"/>
      <c r="D7" s="13">
        <v>4</v>
      </c>
      <c r="E7" s="13">
        <v>4</v>
      </c>
    </row>
    <row r="8" spans="1:5" x14ac:dyDescent="0.25">
      <c r="A8" s="17" t="s">
        <v>543</v>
      </c>
      <c r="B8" s="13"/>
      <c r="C8" s="13"/>
      <c r="D8" s="13">
        <v>9</v>
      </c>
      <c r="E8" s="13">
        <v>9</v>
      </c>
    </row>
    <row r="9" spans="1:5" x14ac:dyDescent="0.25">
      <c r="A9" s="17" t="s">
        <v>238</v>
      </c>
      <c r="B9" s="13"/>
      <c r="C9" s="13"/>
      <c r="D9" s="13">
        <v>9</v>
      </c>
      <c r="E9" s="13">
        <v>9</v>
      </c>
    </row>
    <row r="10" spans="1:5" x14ac:dyDescent="0.25">
      <c r="A10" s="17" t="s">
        <v>891</v>
      </c>
      <c r="B10" s="13"/>
      <c r="C10" s="13"/>
      <c r="D10" s="13">
        <v>1</v>
      </c>
      <c r="E10" s="13">
        <v>1</v>
      </c>
    </row>
    <row r="11" spans="1:5" x14ac:dyDescent="0.25">
      <c r="A11" s="17" t="s">
        <v>748</v>
      </c>
      <c r="B11" s="13"/>
      <c r="C11" s="13"/>
      <c r="D11" s="13">
        <v>1</v>
      </c>
      <c r="E11" s="13">
        <v>1</v>
      </c>
    </row>
    <row r="12" spans="1:5" x14ac:dyDescent="0.25">
      <c r="A12" s="17" t="s">
        <v>1118</v>
      </c>
      <c r="B12" s="13"/>
      <c r="C12" s="13"/>
      <c r="D12" s="13">
        <v>1</v>
      </c>
      <c r="E12" s="13">
        <v>1</v>
      </c>
    </row>
    <row r="13" spans="1:5" x14ac:dyDescent="0.25">
      <c r="A13" s="17" t="s">
        <v>89</v>
      </c>
      <c r="B13" s="13"/>
      <c r="C13" s="13"/>
      <c r="D13" s="13">
        <v>30</v>
      </c>
      <c r="E13" s="13">
        <v>30</v>
      </c>
    </row>
    <row r="14" spans="1:5" x14ac:dyDescent="0.25">
      <c r="A14" s="17" t="s">
        <v>251</v>
      </c>
      <c r="B14" s="13"/>
      <c r="C14" s="13"/>
      <c r="D14" s="13">
        <v>2</v>
      </c>
      <c r="E14" s="13">
        <v>2</v>
      </c>
    </row>
    <row r="15" spans="1:5" x14ac:dyDescent="0.25">
      <c r="A15" s="17" t="s">
        <v>160</v>
      </c>
      <c r="B15" s="13"/>
      <c r="C15" s="13"/>
      <c r="D15" s="13">
        <v>19</v>
      </c>
      <c r="E15" s="13">
        <v>19</v>
      </c>
    </row>
    <row r="16" spans="1:5" x14ac:dyDescent="0.25">
      <c r="A16" s="17" t="s">
        <v>946</v>
      </c>
      <c r="B16" s="13"/>
      <c r="C16" s="13">
        <v>1</v>
      </c>
      <c r="D16" s="13"/>
      <c r="E16" s="13">
        <v>1</v>
      </c>
    </row>
    <row r="17" spans="1:5" x14ac:dyDescent="0.25">
      <c r="A17" s="17" t="s">
        <v>398</v>
      </c>
      <c r="B17" s="13"/>
      <c r="C17" s="13"/>
      <c r="D17" s="13">
        <v>1</v>
      </c>
      <c r="E17" s="13">
        <v>1</v>
      </c>
    </row>
    <row r="18" spans="1:5" x14ac:dyDescent="0.25">
      <c r="A18" s="17" t="s">
        <v>227</v>
      </c>
      <c r="B18" s="13"/>
      <c r="C18" s="13">
        <v>1</v>
      </c>
      <c r="D18" s="13"/>
      <c r="E18" s="13">
        <v>1</v>
      </c>
    </row>
    <row r="19" spans="1:5" x14ac:dyDescent="0.25">
      <c r="A19" s="17" t="s">
        <v>152</v>
      </c>
      <c r="B19" s="13"/>
      <c r="C19" s="13">
        <v>28</v>
      </c>
      <c r="D19" s="13"/>
      <c r="E19" s="13">
        <v>28</v>
      </c>
    </row>
    <row r="20" spans="1:5" x14ac:dyDescent="0.25">
      <c r="A20" s="17" t="s">
        <v>104</v>
      </c>
      <c r="B20" s="13"/>
      <c r="C20" s="13"/>
      <c r="D20" s="13">
        <v>52</v>
      </c>
      <c r="E20" s="13">
        <v>52</v>
      </c>
    </row>
    <row r="21" spans="1:5" x14ac:dyDescent="0.25">
      <c r="A21" s="17" t="s">
        <v>964</v>
      </c>
      <c r="B21" s="13"/>
      <c r="C21" s="13">
        <v>1</v>
      </c>
      <c r="D21" s="13"/>
      <c r="E21" s="13">
        <v>1</v>
      </c>
    </row>
    <row r="22" spans="1:5" x14ac:dyDescent="0.25">
      <c r="A22" s="17" t="s">
        <v>1143</v>
      </c>
      <c r="B22" s="13"/>
      <c r="C22" s="13"/>
      <c r="D22" s="13">
        <v>1</v>
      </c>
      <c r="E22" s="13">
        <v>1</v>
      </c>
    </row>
    <row r="23" spans="1:5" x14ac:dyDescent="0.25">
      <c r="A23" s="17" t="s">
        <v>117</v>
      </c>
      <c r="B23" s="13"/>
      <c r="C23" s="13">
        <v>24</v>
      </c>
      <c r="D23" s="13"/>
      <c r="E23" s="13">
        <v>24</v>
      </c>
    </row>
    <row r="24" spans="1:5" x14ac:dyDescent="0.25">
      <c r="A24" s="15" t="s">
        <v>93</v>
      </c>
      <c r="B24" s="13"/>
      <c r="C24" s="13">
        <v>20</v>
      </c>
      <c r="D24" s="13">
        <v>122</v>
      </c>
      <c r="E24" s="13">
        <v>142</v>
      </c>
    </row>
    <row r="25" spans="1:5" x14ac:dyDescent="0.25">
      <c r="A25" s="17" t="s">
        <v>350</v>
      </c>
      <c r="B25" s="13"/>
      <c r="C25" s="13"/>
      <c r="D25" s="13">
        <v>2</v>
      </c>
      <c r="E25" s="13">
        <v>2</v>
      </c>
    </row>
    <row r="26" spans="1:5" x14ac:dyDescent="0.25">
      <c r="A26" s="17" t="s">
        <v>125</v>
      </c>
      <c r="B26" s="13"/>
      <c r="C26" s="13"/>
      <c r="D26" s="13">
        <v>2</v>
      </c>
      <c r="E26" s="13">
        <v>2</v>
      </c>
    </row>
    <row r="27" spans="1:5" x14ac:dyDescent="0.25">
      <c r="A27" s="17" t="s">
        <v>217</v>
      </c>
      <c r="B27" s="13"/>
      <c r="C27" s="13"/>
      <c r="D27" s="13">
        <v>1</v>
      </c>
      <c r="E27" s="13">
        <v>1</v>
      </c>
    </row>
    <row r="28" spans="1:5" x14ac:dyDescent="0.25">
      <c r="A28" s="17" t="s">
        <v>169</v>
      </c>
      <c r="B28" s="13"/>
      <c r="C28" s="13">
        <v>20</v>
      </c>
      <c r="D28" s="13"/>
      <c r="E28" s="13">
        <v>20</v>
      </c>
    </row>
    <row r="29" spans="1:5" x14ac:dyDescent="0.25">
      <c r="A29" s="17" t="s">
        <v>134</v>
      </c>
      <c r="B29" s="13"/>
      <c r="C29" s="13"/>
      <c r="D29" s="13">
        <v>12</v>
      </c>
      <c r="E29" s="13">
        <v>12</v>
      </c>
    </row>
    <row r="30" spans="1:5" x14ac:dyDescent="0.25">
      <c r="A30" s="17" t="s">
        <v>108</v>
      </c>
      <c r="B30" s="13"/>
      <c r="C30" s="13"/>
      <c r="D30" s="13">
        <v>37</v>
      </c>
      <c r="E30" s="13">
        <v>37</v>
      </c>
    </row>
    <row r="31" spans="1:5" x14ac:dyDescent="0.25">
      <c r="A31" s="17" t="s">
        <v>346</v>
      </c>
      <c r="B31" s="13"/>
      <c r="C31" s="13"/>
      <c r="D31" s="13">
        <v>4</v>
      </c>
      <c r="E31" s="13">
        <v>4</v>
      </c>
    </row>
    <row r="32" spans="1:5" x14ac:dyDescent="0.25">
      <c r="A32" s="17" t="s">
        <v>321</v>
      </c>
      <c r="B32" s="13"/>
      <c r="C32" s="13"/>
      <c r="D32" s="13">
        <v>5</v>
      </c>
      <c r="E32" s="13">
        <v>5</v>
      </c>
    </row>
    <row r="33" spans="1:5" x14ac:dyDescent="0.25">
      <c r="A33" s="17" t="s">
        <v>112</v>
      </c>
      <c r="B33" s="13"/>
      <c r="C33" s="13"/>
      <c r="D33" s="13">
        <v>20</v>
      </c>
      <c r="E33" s="13">
        <v>20</v>
      </c>
    </row>
    <row r="34" spans="1:5" x14ac:dyDescent="0.25">
      <c r="A34" s="17" t="s">
        <v>95</v>
      </c>
      <c r="B34" s="13"/>
      <c r="C34" s="13"/>
      <c r="D34" s="13">
        <v>39</v>
      </c>
      <c r="E34" s="13">
        <v>39</v>
      </c>
    </row>
    <row r="35" spans="1:5" x14ac:dyDescent="0.25">
      <c r="A35" s="15" t="s">
        <v>68</v>
      </c>
      <c r="B35" s="13"/>
      <c r="C35" s="13"/>
      <c r="D35" s="13">
        <v>1</v>
      </c>
      <c r="E35" s="13">
        <v>1</v>
      </c>
    </row>
    <row r="36" spans="1:5" x14ac:dyDescent="0.25">
      <c r="A36" s="17" t="s">
        <v>475</v>
      </c>
      <c r="B36" s="13"/>
      <c r="C36" s="13"/>
      <c r="D36" s="13">
        <v>1</v>
      </c>
      <c r="E36" s="13">
        <v>1</v>
      </c>
    </row>
    <row r="37" spans="1:5" x14ac:dyDescent="0.25">
      <c r="A37" s="15" t="s">
        <v>18</v>
      </c>
      <c r="B37" s="13">
        <v>35</v>
      </c>
      <c r="C37" s="13"/>
      <c r="D37" s="13"/>
      <c r="E37" s="13">
        <v>35</v>
      </c>
    </row>
    <row r="38" spans="1:5" x14ac:dyDescent="0.25">
      <c r="A38" s="17" t="s">
        <v>1214</v>
      </c>
      <c r="B38" s="13">
        <v>1</v>
      </c>
      <c r="C38" s="13"/>
      <c r="D38" s="13"/>
      <c r="E38" s="13">
        <v>1</v>
      </c>
    </row>
    <row r="39" spans="1:5" x14ac:dyDescent="0.25">
      <c r="A39" s="17" t="s">
        <v>78</v>
      </c>
      <c r="B39" s="13">
        <v>1</v>
      </c>
      <c r="C39" s="13"/>
      <c r="D39" s="13"/>
      <c r="E39" s="13">
        <v>1</v>
      </c>
    </row>
    <row r="40" spans="1:5" x14ac:dyDescent="0.25">
      <c r="A40" s="17" t="s">
        <v>303</v>
      </c>
      <c r="B40" s="13">
        <v>2</v>
      </c>
      <c r="C40" s="13"/>
      <c r="D40" s="13"/>
      <c r="E40" s="13">
        <v>2</v>
      </c>
    </row>
    <row r="41" spans="1:5" x14ac:dyDescent="0.25">
      <c r="A41" s="17" t="s">
        <v>165</v>
      </c>
      <c r="B41" s="13">
        <v>5</v>
      </c>
      <c r="C41" s="13"/>
      <c r="D41" s="13"/>
      <c r="E41" s="13">
        <v>5</v>
      </c>
    </row>
    <row r="42" spans="1:5" x14ac:dyDescent="0.25">
      <c r="A42" s="17" t="s">
        <v>147</v>
      </c>
      <c r="B42" s="13">
        <v>1</v>
      </c>
      <c r="C42" s="13"/>
      <c r="D42" s="13"/>
      <c r="E42" s="13">
        <v>1</v>
      </c>
    </row>
    <row r="43" spans="1:5" x14ac:dyDescent="0.25">
      <c r="A43" s="17" t="s">
        <v>83</v>
      </c>
      <c r="B43" s="13">
        <v>25</v>
      </c>
      <c r="C43" s="13"/>
      <c r="D43" s="13"/>
      <c r="E43" s="13">
        <v>25</v>
      </c>
    </row>
    <row r="44" spans="1:5" x14ac:dyDescent="0.25">
      <c r="A44" s="15" t="s">
        <v>200</v>
      </c>
      <c r="B44" s="13"/>
      <c r="C44" s="13">
        <v>9</v>
      </c>
      <c r="D44" s="13"/>
      <c r="E44" s="13">
        <v>9</v>
      </c>
    </row>
    <row r="45" spans="1:5" x14ac:dyDescent="0.25">
      <c r="A45" s="17" t="s">
        <v>202</v>
      </c>
      <c r="B45" s="13"/>
      <c r="C45" s="13">
        <v>9</v>
      </c>
      <c r="D45" s="13"/>
      <c r="E45" s="13">
        <v>9</v>
      </c>
    </row>
    <row r="46" spans="1:5" x14ac:dyDescent="0.25">
      <c r="A46" s="15" t="s">
        <v>1717</v>
      </c>
      <c r="B46" s="13">
        <v>35</v>
      </c>
      <c r="C46" s="13">
        <v>84</v>
      </c>
      <c r="D46" s="13">
        <v>259</v>
      </c>
      <c r="E46" s="13">
        <v>378</v>
      </c>
    </row>
    <row r="47" spans="1:5" x14ac:dyDescent="0.25">
      <c r="B47"/>
      <c r="C47"/>
      <c r="D47"/>
      <c r="E47"/>
    </row>
    <row r="48" spans="1:5" x14ac:dyDescent="0.25">
      <c r="B48"/>
      <c r="C48"/>
      <c r="D48"/>
      <c r="E4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E73"/>
  <sheetViews>
    <sheetView topLeftCell="A30" workbookViewId="0">
      <selection activeCell="L63" sqref="L63"/>
    </sheetView>
    <sheetView tabSelected="1" topLeftCell="A47" zoomScaleNormal="100" workbookViewId="1">
      <selection activeCell="A19" sqref="A19"/>
    </sheetView>
  </sheetViews>
  <sheetFormatPr defaultRowHeight="15" x14ac:dyDescent="0.25"/>
  <cols>
    <col min="1" max="1" width="82.85546875" bestFit="1" customWidth="1"/>
    <col min="2" max="2" width="13" bestFit="1" customWidth="1"/>
    <col min="3" max="3" width="21.5703125" bestFit="1" customWidth="1"/>
    <col min="4" max="4" width="17" bestFit="1" customWidth="1"/>
    <col min="5" max="5" width="10.7109375" bestFit="1" customWidth="1"/>
    <col min="6" max="6" width="5.140625" bestFit="1" customWidth="1"/>
    <col min="7" max="7" width="10.7109375" bestFit="1" customWidth="1"/>
  </cols>
  <sheetData>
    <row r="1" spans="1:5" x14ac:dyDescent="0.25">
      <c r="A1" s="6" t="s">
        <v>1714</v>
      </c>
      <c r="B1" t="s">
        <v>1719</v>
      </c>
    </row>
    <row r="3" spans="1:5" ht="21.6" customHeight="1" x14ac:dyDescent="0.25">
      <c r="A3" s="6" t="s">
        <v>1715</v>
      </c>
      <c r="B3" s="6" t="s">
        <v>1720</v>
      </c>
    </row>
    <row r="4" spans="1:5" ht="60.6" customHeight="1" x14ac:dyDescent="0.25">
      <c r="A4" s="6" t="s">
        <v>1716</v>
      </c>
      <c r="B4" s="22" t="s">
        <v>1718</v>
      </c>
      <c r="C4" s="23" t="s">
        <v>1708</v>
      </c>
      <c r="D4" s="23" t="s">
        <v>1707</v>
      </c>
      <c r="E4" s="23" t="s">
        <v>1717</v>
      </c>
    </row>
    <row r="5" spans="1:5" x14ac:dyDescent="0.25">
      <c r="A5" s="15" t="s">
        <v>23</v>
      </c>
      <c r="B5" s="13"/>
      <c r="C5" s="13">
        <v>46</v>
      </c>
      <c r="D5" s="13">
        <v>106</v>
      </c>
      <c r="E5" s="13">
        <v>152</v>
      </c>
    </row>
    <row r="6" spans="1:5" x14ac:dyDescent="0.25">
      <c r="A6" s="15" t="s">
        <v>19</v>
      </c>
      <c r="B6" s="13"/>
      <c r="C6" s="13">
        <v>46</v>
      </c>
      <c r="D6" s="13">
        <v>106</v>
      </c>
      <c r="E6" s="13">
        <v>152</v>
      </c>
    </row>
    <row r="7" spans="1:5" x14ac:dyDescent="0.25">
      <c r="A7" s="18" t="s">
        <v>361</v>
      </c>
      <c r="B7" s="13"/>
      <c r="C7" s="13"/>
      <c r="D7" s="13">
        <v>2</v>
      </c>
      <c r="E7" s="13">
        <v>2</v>
      </c>
    </row>
    <row r="8" spans="1:5" x14ac:dyDescent="0.25">
      <c r="A8" s="18" t="s">
        <v>439</v>
      </c>
      <c r="B8" s="13"/>
      <c r="C8" s="13"/>
      <c r="D8" s="13">
        <v>1</v>
      </c>
      <c r="E8" s="13">
        <v>1</v>
      </c>
    </row>
    <row r="9" spans="1:5" x14ac:dyDescent="0.25">
      <c r="A9" s="18" t="s">
        <v>543</v>
      </c>
      <c r="B9" s="13"/>
      <c r="C9" s="13"/>
      <c r="D9" s="13">
        <v>1</v>
      </c>
      <c r="E9" s="13">
        <v>1</v>
      </c>
    </row>
    <row r="10" spans="1:5" x14ac:dyDescent="0.25">
      <c r="A10" s="18" t="s">
        <v>238</v>
      </c>
      <c r="B10" s="13"/>
      <c r="C10" s="13"/>
      <c r="D10" s="13">
        <v>1</v>
      </c>
      <c r="E10" s="13">
        <v>1</v>
      </c>
    </row>
    <row r="11" spans="1:5" x14ac:dyDescent="0.25">
      <c r="A11" s="18" t="s">
        <v>89</v>
      </c>
      <c r="B11" s="13"/>
      <c r="C11" s="13"/>
      <c r="D11" s="13">
        <v>6</v>
      </c>
      <c r="E11" s="13">
        <v>6</v>
      </c>
    </row>
    <row r="12" spans="1:5" x14ac:dyDescent="0.25">
      <c r="A12" s="18" t="s">
        <v>160</v>
      </c>
      <c r="B12" s="13"/>
      <c r="C12" s="13"/>
      <c r="D12" s="13">
        <v>8</v>
      </c>
      <c r="E12" s="13">
        <v>8</v>
      </c>
    </row>
    <row r="13" spans="1:5" x14ac:dyDescent="0.25">
      <c r="A13" s="18" t="s">
        <v>946</v>
      </c>
      <c r="B13" s="13"/>
      <c r="C13" s="13">
        <v>1</v>
      </c>
      <c r="D13" s="13"/>
      <c r="E13" s="13">
        <v>1</v>
      </c>
    </row>
    <row r="14" spans="1:5" x14ac:dyDescent="0.25">
      <c r="A14" s="18" t="s">
        <v>278</v>
      </c>
      <c r="B14" s="13"/>
      <c r="C14" s="13">
        <v>5</v>
      </c>
      <c r="D14" s="13"/>
      <c r="E14" s="13">
        <v>5</v>
      </c>
    </row>
    <row r="15" spans="1:5" x14ac:dyDescent="0.25">
      <c r="A15" s="18" t="s">
        <v>98</v>
      </c>
      <c r="B15" s="13"/>
      <c r="C15" s="13">
        <v>10</v>
      </c>
      <c r="D15" s="13"/>
      <c r="E15" s="13">
        <v>10</v>
      </c>
    </row>
    <row r="16" spans="1:5" x14ac:dyDescent="0.25">
      <c r="A16" s="18" t="s">
        <v>891</v>
      </c>
      <c r="B16" s="13"/>
      <c r="C16" s="13"/>
      <c r="D16" s="13">
        <v>5</v>
      </c>
      <c r="E16" s="13">
        <v>5</v>
      </c>
    </row>
    <row r="17" spans="1:5" x14ac:dyDescent="0.25">
      <c r="A17" s="18" t="s">
        <v>1118</v>
      </c>
      <c r="B17" s="13"/>
      <c r="C17" s="13"/>
      <c r="D17" s="13">
        <v>1</v>
      </c>
      <c r="E17" s="13">
        <v>1</v>
      </c>
    </row>
    <row r="18" spans="1:5" x14ac:dyDescent="0.25">
      <c r="A18" s="18" t="s">
        <v>259</v>
      </c>
      <c r="B18" s="13"/>
      <c r="C18" s="13"/>
      <c r="D18" s="13">
        <v>7</v>
      </c>
      <c r="E18" s="13">
        <v>7</v>
      </c>
    </row>
    <row r="19" spans="1:5" x14ac:dyDescent="0.25">
      <c r="A19" s="18" t="s">
        <v>398</v>
      </c>
      <c r="B19" s="13"/>
      <c r="C19" s="13"/>
      <c r="D19" s="13">
        <v>17</v>
      </c>
      <c r="E19" s="13">
        <v>17</v>
      </c>
    </row>
    <row r="20" spans="1:5" x14ac:dyDescent="0.25">
      <c r="A20" s="18" t="s">
        <v>209</v>
      </c>
      <c r="B20" s="13"/>
      <c r="C20" s="13">
        <v>2</v>
      </c>
      <c r="D20" s="13"/>
      <c r="E20" s="13">
        <v>2</v>
      </c>
    </row>
    <row r="21" spans="1:5" x14ac:dyDescent="0.25">
      <c r="A21" s="18" t="s">
        <v>251</v>
      </c>
      <c r="B21" s="13"/>
      <c r="C21" s="13"/>
      <c r="D21" s="13">
        <v>9</v>
      </c>
      <c r="E21" s="13">
        <v>9</v>
      </c>
    </row>
    <row r="22" spans="1:5" x14ac:dyDescent="0.25">
      <c r="A22" s="18" t="s">
        <v>1109</v>
      </c>
      <c r="B22" s="13"/>
      <c r="C22" s="13"/>
      <c r="D22" s="13">
        <v>1</v>
      </c>
      <c r="E22" s="13">
        <v>1</v>
      </c>
    </row>
    <row r="23" spans="1:5" x14ac:dyDescent="0.25">
      <c r="A23" s="18" t="s">
        <v>143</v>
      </c>
      <c r="B23" s="13"/>
      <c r="C23" s="13"/>
      <c r="D23" s="13">
        <v>27</v>
      </c>
      <c r="E23" s="13">
        <v>27</v>
      </c>
    </row>
    <row r="24" spans="1:5" x14ac:dyDescent="0.25">
      <c r="A24" s="18" t="s">
        <v>776</v>
      </c>
      <c r="B24" s="13"/>
      <c r="C24" s="13"/>
      <c r="D24" s="13">
        <v>1</v>
      </c>
      <c r="E24" s="13">
        <v>1</v>
      </c>
    </row>
    <row r="25" spans="1:5" x14ac:dyDescent="0.25">
      <c r="A25" s="18" t="s">
        <v>227</v>
      </c>
      <c r="B25" s="13"/>
      <c r="C25" s="13">
        <v>8</v>
      </c>
      <c r="D25" s="13"/>
      <c r="E25" s="13">
        <v>8</v>
      </c>
    </row>
    <row r="26" spans="1:5" x14ac:dyDescent="0.25">
      <c r="A26" s="18" t="s">
        <v>762</v>
      </c>
      <c r="B26" s="13"/>
      <c r="C26" s="13">
        <v>3</v>
      </c>
      <c r="D26" s="13"/>
      <c r="E26" s="13">
        <v>3</v>
      </c>
    </row>
    <row r="27" spans="1:5" x14ac:dyDescent="0.25">
      <c r="A27" s="18" t="s">
        <v>812</v>
      </c>
      <c r="B27" s="13"/>
      <c r="C27" s="13">
        <v>1</v>
      </c>
      <c r="D27" s="13"/>
      <c r="E27" s="13">
        <v>1</v>
      </c>
    </row>
    <row r="28" spans="1:5" x14ac:dyDescent="0.25">
      <c r="A28" s="18" t="s">
        <v>152</v>
      </c>
      <c r="B28" s="13"/>
      <c r="C28" s="13">
        <v>7</v>
      </c>
      <c r="D28" s="13"/>
      <c r="E28" s="13">
        <v>7</v>
      </c>
    </row>
    <row r="29" spans="1:5" x14ac:dyDescent="0.25">
      <c r="A29" s="18" t="s">
        <v>104</v>
      </c>
      <c r="B29" s="13"/>
      <c r="C29" s="13"/>
      <c r="D29" s="13">
        <v>18</v>
      </c>
      <c r="E29" s="13">
        <v>18</v>
      </c>
    </row>
    <row r="30" spans="1:5" x14ac:dyDescent="0.25">
      <c r="A30" s="18" t="s">
        <v>964</v>
      </c>
      <c r="B30" s="13"/>
      <c r="C30" s="13">
        <v>1</v>
      </c>
      <c r="D30" s="13"/>
      <c r="E30" s="13">
        <v>1</v>
      </c>
    </row>
    <row r="31" spans="1:5" x14ac:dyDescent="0.25">
      <c r="A31" s="18" t="s">
        <v>1143</v>
      </c>
      <c r="B31" s="13"/>
      <c r="C31" s="13"/>
      <c r="D31" s="13">
        <v>1</v>
      </c>
      <c r="E31" s="13">
        <v>1</v>
      </c>
    </row>
    <row r="32" spans="1:5" x14ac:dyDescent="0.25">
      <c r="A32" s="18" t="s">
        <v>1046</v>
      </c>
      <c r="B32" s="13"/>
      <c r="C32" s="13">
        <v>1</v>
      </c>
      <c r="D32" s="13"/>
      <c r="E32" s="13">
        <v>1</v>
      </c>
    </row>
    <row r="33" spans="1:5" x14ac:dyDescent="0.25">
      <c r="A33" s="18" t="s">
        <v>117</v>
      </c>
      <c r="B33" s="13"/>
      <c r="C33" s="13">
        <v>7</v>
      </c>
      <c r="D33" s="13"/>
      <c r="E33" s="13">
        <v>7</v>
      </c>
    </row>
    <row r="34" spans="1:5" x14ac:dyDescent="0.25">
      <c r="A34" s="15" t="s">
        <v>93</v>
      </c>
      <c r="B34" s="13"/>
      <c r="C34" s="13">
        <v>13</v>
      </c>
      <c r="D34" s="13">
        <v>144</v>
      </c>
      <c r="E34" s="13">
        <v>157</v>
      </c>
    </row>
    <row r="35" spans="1:5" x14ac:dyDescent="0.25">
      <c r="A35" s="15" t="s">
        <v>19</v>
      </c>
      <c r="B35" s="13"/>
      <c r="C35" s="13">
        <v>13</v>
      </c>
      <c r="D35" s="13">
        <v>144</v>
      </c>
      <c r="E35" s="13">
        <v>157</v>
      </c>
    </row>
    <row r="36" spans="1:5" x14ac:dyDescent="0.25">
      <c r="A36" s="18" t="s">
        <v>185</v>
      </c>
      <c r="B36" s="13"/>
      <c r="C36" s="13">
        <v>7</v>
      </c>
      <c r="D36" s="13"/>
      <c r="E36" s="13">
        <v>7</v>
      </c>
    </row>
    <row r="37" spans="1:5" x14ac:dyDescent="0.25">
      <c r="A37" s="18" t="s">
        <v>139</v>
      </c>
      <c r="B37" s="13"/>
      <c r="C37" s="13"/>
      <c r="D37" s="13">
        <v>23</v>
      </c>
      <c r="E37" s="13">
        <v>23</v>
      </c>
    </row>
    <row r="38" spans="1:5" x14ac:dyDescent="0.25">
      <c r="A38" s="18" t="s">
        <v>996</v>
      </c>
      <c r="B38" s="13"/>
      <c r="C38" s="13"/>
      <c r="D38" s="13">
        <v>1</v>
      </c>
      <c r="E38" s="13">
        <v>1</v>
      </c>
    </row>
    <row r="39" spans="1:5" x14ac:dyDescent="0.25">
      <c r="A39" s="18" t="s">
        <v>350</v>
      </c>
      <c r="B39" s="13"/>
      <c r="C39" s="13"/>
      <c r="D39" s="13">
        <v>17</v>
      </c>
      <c r="E39" s="13">
        <v>17</v>
      </c>
    </row>
    <row r="40" spans="1:5" x14ac:dyDescent="0.25">
      <c r="A40" s="18" t="s">
        <v>755</v>
      </c>
      <c r="B40" s="13"/>
      <c r="C40" s="13"/>
      <c r="D40" s="13">
        <v>4</v>
      </c>
      <c r="E40" s="13">
        <v>4</v>
      </c>
    </row>
    <row r="41" spans="1:5" x14ac:dyDescent="0.25">
      <c r="A41" s="18" t="s">
        <v>125</v>
      </c>
      <c r="B41" s="13"/>
      <c r="C41" s="13"/>
      <c r="D41" s="13">
        <v>24</v>
      </c>
      <c r="E41" s="13">
        <v>24</v>
      </c>
    </row>
    <row r="42" spans="1:5" x14ac:dyDescent="0.25">
      <c r="A42" s="18" t="s">
        <v>217</v>
      </c>
      <c r="B42" s="13"/>
      <c r="C42" s="13"/>
      <c r="D42" s="13">
        <v>25</v>
      </c>
      <c r="E42" s="13">
        <v>25</v>
      </c>
    </row>
    <row r="43" spans="1:5" x14ac:dyDescent="0.25">
      <c r="A43" s="18" t="s">
        <v>169</v>
      </c>
      <c r="B43" s="13"/>
      <c r="C43" s="13">
        <v>6</v>
      </c>
      <c r="D43" s="13"/>
      <c r="E43" s="13">
        <v>6</v>
      </c>
    </row>
    <row r="44" spans="1:5" x14ac:dyDescent="0.25">
      <c r="A44" s="18" t="s">
        <v>134</v>
      </c>
      <c r="B44" s="13"/>
      <c r="C44" s="13"/>
      <c r="D44" s="13">
        <v>7</v>
      </c>
      <c r="E44" s="13">
        <v>7</v>
      </c>
    </row>
    <row r="45" spans="1:5" x14ac:dyDescent="0.25">
      <c r="A45" s="18" t="s">
        <v>108</v>
      </c>
      <c r="B45" s="13"/>
      <c r="C45" s="13"/>
      <c r="D45" s="13">
        <v>18</v>
      </c>
      <c r="E45" s="13">
        <v>18</v>
      </c>
    </row>
    <row r="46" spans="1:5" x14ac:dyDescent="0.25">
      <c r="A46" s="18" t="s">
        <v>346</v>
      </c>
      <c r="B46" s="13"/>
      <c r="C46" s="13"/>
      <c r="D46" s="13">
        <v>5</v>
      </c>
      <c r="E46" s="13">
        <v>5</v>
      </c>
    </row>
    <row r="47" spans="1:5" x14ac:dyDescent="0.25">
      <c r="A47" s="18" t="s">
        <v>112</v>
      </c>
      <c r="B47" s="13"/>
      <c r="C47" s="13"/>
      <c r="D47" s="13">
        <v>12</v>
      </c>
      <c r="E47" s="13">
        <v>12</v>
      </c>
    </row>
    <row r="48" spans="1:5" x14ac:dyDescent="0.25">
      <c r="A48" s="18" t="s">
        <v>95</v>
      </c>
      <c r="B48" s="13"/>
      <c r="C48" s="13"/>
      <c r="D48" s="13">
        <v>8</v>
      </c>
      <c r="E48" s="13">
        <v>8</v>
      </c>
    </row>
    <row r="49" spans="1:5" x14ac:dyDescent="0.25">
      <c r="A49" s="15" t="s">
        <v>68</v>
      </c>
      <c r="B49" s="13"/>
      <c r="C49" s="13">
        <v>4</v>
      </c>
      <c r="D49" s="13">
        <v>11</v>
      </c>
      <c r="E49" s="13">
        <v>15</v>
      </c>
    </row>
    <row r="50" spans="1:5" x14ac:dyDescent="0.25">
      <c r="A50" s="15" t="s">
        <v>19</v>
      </c>
      <c r="B50" s="13"/>
      <c r="C50" s="13">
        <v>4</v>
      </c>
      <c r="D50" s="13">
        <v>11</v>
      </c>
      <c r="E50" s="13">
        <v>15</v>
      </c>
    </row>
    <row r="51" spans="1:5" x14ac:dyDescent="0.25">
      <c r="A51" s="18" t="s">
        <v>845</v>
      </c>
      <c r="B51" s="13"/>
      <c r="C51" s="13"/>
      <c r="D51" s="13">
        <v>2</v>
      </c>
      <c r="E51" s="13">
        <v>2</v>
      </c>
    </row>
    <row r="52" spans="1:5" x14ac:dyDescent="0.25">
      <c r="A52" s="18" t="s">
        <v>1276</v>
      </c>
      <c r="B52" s="13"/>
      <c r="C52" s="13"/>
      <c r="D52" s="13">
        <v>1</v>
      </c>
      <c r="E52" s="13">
        <v>1</v>
      </c>
    </row>
    <row r="53" spans="1:5" x14ac:dyDescent="0.25">
      <c r="A53" s="18" t="s">
        <v>475</v>
      </c>
      <c r="B53" s="13"/>
      <c r="C53" s="13"/>
      <c r="D53" s="13">
        <v>7</v>
      </c>
      <c r="E53" s="13">
        <v>7</v>
      </c>
    </row>
    <row r="54" spans="1:5" x14ac:dyDescent="0.25">
      <c r="A54" s="18" t="s">
        <v>332</v>
      </c>
      <c r="B54" s="13"/>
      <c r="C54" s="13">
        <v>3</v>
      </c>
      <c r="D54" s="13"/>
      <c r="E54" s="13">
        <v>3</v>
      </c>
    </row>
    <row r="55" spans="1:5" x14ac:dyDescent="0.25">
      <c r="A55" s="18" t="s">
        <v>787</v>
      </c>
      <c r="B55" s="13"/>
      <c r="C55" s="13">
        <v>1</v>
      </c>
      <c r="D55" s="13"/>
      <c r="E55" s="13">
        <v>1</v>
      </c>
    </row>
    <row r="56" spans="1:5" x14ac:dyDescent="0.25">
      <c r="A56" s="18" t="s">
        <v>1165</v>
      </c>
      <c r="B56" s="13"/>
      <c r="C56" s="13"/>
      <c r="D56" s="13">
        <v>1</v>
      </c>
      <c r="E56" s="13">
        <v>1</v>
      </c>
    </row>
    <row r="57" spans="1:5" x14ac:dyDescent="0.25">
      <c r="A57" s="15" t="s">
        <v>18</v>
      </c>
      <c r="B57" s="13">
        <v>56</v>
      </c>
      <c r="C57" s="13">
        <v>4</v>
      </c>
      <c r="D57" s="13"/>
      <c r="E57" s="13">
        <v>60</v>
      </c>
    </row>
    <row r="58" spans="1:5" x14ac:dyDescent="0.25">
      <c r="A58" s="15" t="s">
        <v>19</v>
      </c>
      <c r="B58" s="13">
        <v>56</v>
      </c>
      <c r="C58" s="13">
        <v>4</v>
      </c>
      <c r="D58" s="13"/>
      <c r="E58" s="13">
        <v>60</v>
      </c>
    </row>
    <row r="59" spans="1:5" x14ac:dyDescent="0.25">
      <c r="A59" s="18" t="s">
        <v>78</v>
      </c>
      <c r="B59" s="13">
        <v>2</v>
      </c>
      <c r="C59" s="13"/>
      <c r="D59" s="13"/>
      <c r="E59" s="13">
        <v>2</v>
      </c>
    </row>
    <row r="60" spans="1:5" x14ac:dyDescent="0.25">
      <c r="A60" s="18" t="s">
        <v>303</v>
      </c>
      <c r="B60" s="13">
        <v>7</v>
      </c>
      <c r="C60" s="13"/>
      <c r="D60" s="13"/>
      <c r="E60" s="13">
        <v>7</v>
      </c>
    </row>
    <row r="61" spans="1:5" x14ac:dyDescent="0.25">
      <c r="A61" s="18" t="s">
        <v>165</v>
      </c>
      <c r="B61" s="13">
        <v>11</v>
      </c>
      <c r="C61" s="13"/>
      <c r="D61" s="13"/>
      <c r="E61" s="13">
        <v>11</v>
      </c>
    </row>
    <row r="62" spans="1:5" x14ac:dyDescent="0.25">
      <c r="A62" s="18" t="s">
        <v>246</v>
      </c>
      <c r="B62" s="13"/>
      <c r="C62" s="13">
        <v>4</v>
      </c>
      <c r="D62" s="13"/>
      <c r="E62" s="13">
        <v>4</v>
      </c>
    </row>
    <row r="63" spans="1:5" x14ac:dyDescent="0.25">
      <c r="A63" s="18" t="s">
        <v>172</v>
      </c>
      <c r="B63" s="13">
        <v>5</v>
      </c>
      <c r="C63" s="13"/>
      <c r="D63" s="13"/>
      <c r="E63" s="13">
        <v>5</v>
      </c>
    </row>
    <row r="64" spans="1:5" x14ac:dyDescent="0.25">
      <c r="A64" s="18" t="s">
        <v>147</v>
      </c>
      <c r="B64" s="13">
        <v>2</v>
      </c>
      <c r="C64" s="13"/>
      <c r="D64" s="13"/>
      <c r="E64" s="13">
        <v>2</v>
      </c>
    </row>
    <row r="65" spans="1:5" x14ac:dyDescent="0.25">
      <c r="A65" s="18" t="s">
        <v>83</v>
      </c>
      <c r="B65" s="13">
        <v>28</v>
      </c>
      <c r="C65" s="13"/>
      <c r="D65" s="13"/>
      <c r="E65" s="13">
        <v>28</v>
      </c>
    </row>
    <row r="66" spans="1:5" x14ac:dyDescent="0.25">
      <c r="A66" s="18" t="s">
        <v>740</v>
      </c>
      <c r="B66" s="13">
        <v>1</v>
      </c>
      <c r="C66" s="13"/>
      <c r="D66" s="13"/>
      <c r="E66" s="13">
        <v>1</v>
      </c>
    </row>
    <row r="67" spans="1:5" x14ac:dyDescent="0.25">
      <c r="A67" s="15" t="s">
        <v>585</v>
      </c>
      <c r="B67" s="13"/>
      <c r="C67" s="13"/>
      <c r="D67" s="13">
        <v>1</v>
      </c>
      <c r="E67" s="13">
        <v>1</v>
      </c>
    </row>
    <row r="68" spans="1:5" x14ac:dyDescent="0.25">
      <c r="A68" s="15" t="s">
        <v>19</v>
      </c>
      <c r="B68" s="13"/>
      <c r="C68" s="13"/>
      <c r="D68" s="13">
        <v>1</v>
      </c>
      <c r="E68" s="13">
        <v>1</v>
      </c>
    </row>
    <row r="69" spans="1:5" x14ac:dyDescent="0.25">
      <c r="A69" s="18" t="s">
        <v>587</v>
      </c>
      <c r="B69" s="13"/>
      <c r="C69" s="13"/>
      <c r="D69" s="13">
        <v>1</v>
      </c>
      <c r="E69" s="13">
        <v>1</v>
      </c>
    </row>
    <row r="70" spans="1:5" x14ac:dyDescent="0.25">
      <c r="A70" s="15" t="s">
        <v>200</v>
      </c>
      <c r="B70" s="13"/>
      <c r="C70" s="13">
        <v>10</v>
      </c>
      <c r="D70" s="13"/>
      <c r="E70" s="13">
        <v>10</v>
      </c>
    </row>
    <row r="71" spans="1:5" x14ac:dyDescent="0.25">
      <c r="A71" s="15" t="s">
        <v>19</v>
      </c>
      <c r="B71" s="13"/>
      <c r="C71" s="13">
        <v>10</v>
      </c>
      <c r="D71" s="13"/>
      <c r="E71" s="13">
        <v>10</v>
      </c>
    </row>
    <row r="72" spans="1:5" x14ac:dyDescent="0.25">
      <c r="A72" s="18" t="s">
        <v>202</v>
      </c>
      <c r="B72" s="13"/>
      <c r="C72" s="13">
        <v>10</v>
      </c>
      <c r="D72" s="13"/>
      <c r="E72" s="13">
        <v>10</v>
      </c>
    </row>
    <row r="73" spans="1:5" x14ac:dyDescent="0.25">
      <c r="A73" s="13" t="s">
        <v>1717</v>
      </c>
      <c r="B73" s="13">
        <v>56</v>
      </c>
      <c r="C73" s="13">
        <v>77</v>
      </c>
      <c r="D73" s="13">
        <v>262</v>
      </c>
      <c r="E73" s="13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IU Major Match</vt:lpstr>
      <vt:lpstr>Not ML Reg ML</vt:lpstr>
      <vt:lpstr>ML Std Enrolled but not ML</vt:lpstr>
      <vt:lpstr>ML Std Enrolled in ML</vt:lpstr>
      <vt:lpstr>Report ML&gt;50</vt:lpstr>
      <vt:lpstr>Report ML&lt;=50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</dc:creator>
  <cp:lastModifiedBy>Hussein Abou Nassif</cp:lastModifiedBy>
  <dcterms:created xsi:type="dcterms:W3CDTF">2026-04-08T11:06:55Z</dcterms:created>
  <dcterms:modified xsi:type="dcterms:W3CDTF">2026-04-13T08:47:09Z</dcterms:modified>
</cp:coreProperties>
</file>